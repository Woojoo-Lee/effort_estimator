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ocument\02. 그룹\17. 적정공수분석\전략과제자료\"/>
    </mc:Choice>
  </mc:AlternateContent>
  <xr:revisionPtr revIDLastSave="0" documentId="8_{E88C6419-3794-469F-BBBE-6339E7ADC9BB}" xr6:coauthVersionLast="47" xr6:coauthVersionMax="47" xr10:uidLastSave="{00000000-0000-0000-0000-000000000000}"/>
  <bookViews>
    <workbookView xWindow="-120" yWindow="-120" windowWidth="38640" windowHeight="21120" firstSheet="1" activeTab="1" xr2:uid="{00000000-000D-0000-FFFF-FFFF00000000}"/>
  </bookViews>
  <sheets>
    <sheet name="개요" sheetId="12" state="hidden" r:id="rId1"/>
    <sheet name="표준공수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24" i="13" l="1"/>
  <c r="K67" i="13"/>
  <c r="K64" i="13"/>
  <c r="K53" i="13"/>
  <c r="K50" i="13"/>
  <c r="K49" i="13"/>
  <c r="K44" i="13"/>
  <c r="K32" i="13"/>
  <c r="K31" i="13"/>
  <c r="K29" i="13"/>
  <c r="K28" i="13"/>
  <c r="K26" i="13"/>
  <c r="K25" i="13"/>
  <c r="K24" i="13"/>
  <c r="K23" i="13"/>
  <c r="K22" i="13"/>
  <c r="K21" i="13"/>
  <c r="K16" i="13"/>
  <c r="K15" i="13"/>
  <c r="K14" i="13"/>
  <c r="K13" i="13"/>
  <c r="CC11" i="13"/>
  <c r="AK11" i="13"/>
  <c r="Z11" i="13"/>
  <c r="CG13" i="13"/>
  <c r="CH13" i="13"/>
  <c r="CI13" i="13"/>
  <c r="CJ13" i="13"/>
  <c r="CK13" i="13"/>
  <c r="CL13" i="13"/>
  <c r="CM13" i="13"/>
  <c r="CG14" i="13"/>
  <c r="CH14" i="13"/>
  <c r="CI14" i="13"/>
  <c r="CJ14" i="13"/>
  <c r="CK14" i="13"/>
  <c r="CL14" i="13"/>
  <c r="CM14" i="13"/>
  <c r="CG15" i="13"/>
  <c r="CH15" i="13"/>
  <c r="CI15" i="13"/>
  <c r="CJ15" i="13"/>
  <c r="CK15" i="13"/>
  <c r="CL15" i="13"/>
  <c r="CM15" i="13"/>
  <c r="CG16" i="13"/>
  <c r="CH16" i="13"/>
  <c r="CI16" i="13"/>
  <c r="CJ16" i="13"/>
  <c r="CK16" i="13"/>
  <c r="CL16" i="13"/>
  <c r="CM16" i="13"/>
  <c r="CG17" i="13"/>
  <c r="CH17" i="13"/>
  <c r="CI17" i="13"/>
  <c r="CJ17" i="13"/>
  <c r="CK17" i="13"/>
  <c r="CL17" i="13"/>
  <c r="CM17" i="13"/>
  <c r="CG18" i="13"/>
  <c r="CH18" i="13"/>
  <c r="CI18" i="13"/>
  <c r="CJ18" i="13"/>
  <c r="CK18" i="13"/>
  <c r="CL18" i="13"/>
  <c r="CM18" i="13"/>
  <c r="CG19" i="13"/>
  <c r="CH19" i="13"/>
  <c r="CI19" i="13"/>
  <c r="CJ19" i="13"/>
  <c r="CK19" i="13"/>
  <c r="CL19" i="13"/>
  <c r="CM19" i="13"/>
  <c r="CG20" i="13"/>
  <c r="CH20" i="13"/>
  <c r="CI20" i="13"/>
  <c r="CJ20" i="13"/>
  <c r="CK20" i="13"/>
  <c r="CL20" i="13"/>
  <c r="CM20" i="13"/>
  <c r="CG21" i="13"/>
  <c r="CH21" i="13"/>
  <c r="CI21" i="13"/>
  <c r="CJ21" i="13"/>
  <c r="CK21" i="13"/>
  <c r="CL21" i="13"/>
  <c r="CM21" i="13"/>
  <c r="CG22" i="13"/>
  <c r="CH22" i="13"/>
  <c r="CI22" i="13"/>
  <c r="CJ22" i="13"/>
  <c r="CK22" i="13"/>
  <c r="CL22" i="13"/>
  <c r="CM22" i="13"/>
  <c r="CG23" i="13"/>
  <c r="CH23" i="13"/>
  <c r="CI23" i="13"/>
  <c r="CJ23" i="13"/>
  <c r="CK23" i="13"/>
  <c r="CL23" i="13"/>
  <c r="CM23" i="13"/>
  <c r="CG24" i="13"/>
  <c r="CH24" i="13"/>
  <c r="CI24" i="13"/>
  <c r="CJ24" i="13"/>
  <c r="CK24" i="13"/>
  <c r="CL24" i="13"/>
  <c r="CM24" i="13"/>
  <c r="CG25" i="13"/>
  <c r="CH25" i="13"/>
  <c r="CI25" i="13"/>
  <c r="CJ25" i="13"/>
  <c r="CK25" i="13"/>
  <c r="CL25" i="13"/>
  <c r="CM25" i="13"/>
  <c r="CG26" i="13"/>
  <c r="CH26" i="13"/>
  <c r="CI26" i="13"/>
  <c r="CJ26" i="13"/>
  <c r="CK26" i="13"/>
  <c r="CL26" i="13"/>
  <c r="CM26" i="13"/>
  <c r="CG27" i="13"/>
  <c r="CH27" i="13"/>
  <c r="CI27" i="13"/>
  <c r="CJ27" i="13"/>
  <c r="CK27" i="13"/>
  <c r="CL27" i="13"/>
  <c r="CM27" i="13"/>
  <c r="CG28" i="13"/>
  <c r="CH28" i="13"/>
  <c r="CI28" i="13"/>
  <c r="CJ28" i="13"/>
  <c r="CK28" i="13"/>
  <c r="CL28" i="13"/>
  <c r="CM28" i="13"/>
  <c r="CF14" i="13"/>
  <c r="CF15" i="13"/>
  <c r="CF16" i="13"/>
  <c r="CF17" i="13"/>
  <c r="CF18" i="13"/>
  <c r="CF19" i="13"/>
  <c r="CF20" i="13"/>
  <c r="CF21" i="13"/>
  <c r="CF22" i="13"/>
  <c r="CF23" i="13"/>
  <c r="CF24" i="13"/>
  <c r="CF25" i="13"/>
  <c r="CF26" i="13"/>
  <c r="CF27" i="13"/>
  <c r="CF28" i="13"/>
  <c r="CF13" i="13"/>
  <c r="BV13" i="13"/>
  <c r="BW13" i="13"/>
  <c r="BX13" i="13"/>
  <c r="BY13" i="13"/>
  <c r="BZ13" i="13"/>
  <c r="CA13" i="13"/>
  <c r="CB13" i="13"/>
  <c r="BV14" i="13"/>
  <c r="BW14" i="13"/>
  <c r="BX14" i="13"/>
  <c r="BY14" i="13"/>
  <c r="BZ14" i="13"/>
  <c r="CA14" i="13"/>
  <c r="CB14" i="13"/>
  <c r="BV15" i="13"/>
  <c r="BW15" i="13"/>
  <c r="BX15" i="13"/>
  <c r="BY15" i="13"/>
  <c r="BZ15" i="13"/>
  <c r="CA15" i="13"/>
  <c r="CB15" i="13"/>
  <c r="BV16" i="13"/>
  <c r="BW16" i="13"/>
  <c r="BX16" i="13"/>
  <c r="BY16" i="13"/>
  <c r="BZ16" i="13"/>
  <c r="CA16" i="13"/>
  <c r="CB16" i="13"/>
  <c r="BV17" i="13"/>
  <c r="BW17" i="13"/>
  <c r="BX17" i="13"/>
  <c r="BY17" i="13"/>
  <c r="BZ17" i="13"/>
  <c r="CA17" i="13"/>
  <c r="CB17" i="13"/>
  <c r="BV18" i="13"/>
  <c r="BW18" i="13"/>
  <c r="BX18" i="13"/>
  <c r="BY18" i="13"/>
  <c r="BZ18" i="13"/>
  <c r="CA18" i="13"/>
  <c r="CB18" i="13"/>
  <c r="BV19" i="13"/>
  <c r="BW19" i="13"/>
  <c r="BX19" i="13"/>
  <c r="BY19" i="13"/>
  <c r="BZ19" i="13"/>
  <c r="CA19" i="13"/>
  <c r="CB19" i="13"/>
  <c r="BV20" i="13"/>
  <c r="BW20" i="13"/>
  <c r="BX20" i="13"/>
  <c r="BY20" i="13"/>
  <c r="BZ20" i="13"/>
  <c r="CA20" i="13"/>
  <c r="CB20" i="13"/>
  <c r="BV21" i="13"/>
  <c r="BW21" i="13"/>
  <c r="BX21" i="13"/>
  <c r="BY21" i="13"/>
  <c r="BZ21" i="13"/>
  <c r="CA21" i="13"/>
  <c r="CB21" i="13"/>
  <c r="BV22" i="13"/>
  <c r="BW22" i="13"/>
  <c r="BX22" i="13"/>
  <c r="BY22" i="13"/>
  <c r="BZ22" i="13"/>
  <c r="CA22" i="13"/>
  <c r="CB22" i="13"/>
  <c r="BV23" i="13"/>
  <c r="BW23" i="13"/>
  <c r="BX23" i="13"/>
  <c r="BY23" i="13"/>
  <c r="BZ23" i="13"/>
  <c r="CA23" i="13"/>
  <c r="CB23" i="13"/>
  <c r="BV24" i="13"/>
  <c r="BW24" i="13"/>
  <c r="BX24" i="13"/>
  <c r="BY24" i="13"/>
  <c r="BZ24" i="13"/>
  <c r="CB24" i="13"/>
  <c r="BV25" i="13"/>
  <c r="BW25" i="13"/>
  <c r="BX25" i="13"/>
  <c r="BY25" i="13"/>
  <c r="BZ25" i="13"/>
  <c r="CA25" i="13"/>
  <c r="CB25" i="13"/>
  <c r="BV26" i="13"/>
  <c r="BW26" i="13"/>
  <c r="BX26" i="13"/>
  <c r="BY26" i="13"/>
  <c r="BZ26" i="13"/>
  <c r="CA26" i="13"/>
  <c r="CB26" i="13"/>
  <c r="BV27" i="13"/>
  <c r="BW27" i="13"/>
  <c r="BX27" i="13"/>
  <c r="BY27" i="13"/>
  <c r="BZ27" i="13"/>
  <c r="CA27" i="13"/>
  <c r="CB27" i="13"/>
  <c r="BV28" i="13"/>
  <c r="BW28" i="13"/>
  <c r="BX28" i="13"/>
  <c r="BY28" i="13"/>
  <c r="BZ28" i="13"/>
  <c r="CA28" i="13"/>
  <c r="CB28" i="13"/>
  <c r="BU14" i="13"/>
  <c r="BU15" i="13"/>
  <c r="BU16" i="13"/>
  <c r="BU17" i="13"/>
  <c r="BU18" i="13"/>
  <c r="BU19" i="13"/>
  <c r="BU20" i="13"/>
  <c r="BU21" i="13"/>
  <c r="BU22" i="13"/>
  <c r="BU23" i="13"/>
  <c r="BU24" i="13"/>
  <c r="BU25" i="13"/>
  <c r="BU26" i="13"/>
  <c r="BU27" i="13"/>
  <c r="BU28" i="13"/>
  <c r="BU13" i="13"/>
  <c r="K10" i="13"/>
  <c r="AD28" i="13" l="1"/>
  <c r="AE28" i="13"/>
  <c r="AF28" i="13"/>
  <c r="AG28" i="13"/>
  <c r="AH28" i="13"/>
  <c r="AI28" i="13"/>
  <c r="AJ28" i="13"/>
  <c r="AD27" i="13"/>
  <c r="AE27" i="13"/>
  <c r="AF27" i="13"/>
  <c r="AG27" i="13"/>
  <c r="AH27" i="13"/>
  <c r="AI27" i="13"/>
  <c r="AJ27" i="13"/>
  <c r="AC28" i="13"/>
  <c r="S28" i="13"/>
  <c r="T28" i="13"/>
  <c r="U28" i="13"/>
  <c r="V28" i="13"/>
  <c r="W28" i="13"/>
  <c r="X28" i="13"/>
  <c r="Y28" i="13"/>
  <c r="R28" i="13"/>
  <c r="AC27" i="13"/>
  <c r="AJ26" i="13"/>
  <c r="AH26" i="13"/>
  <c r="AG26" i="13"/>
  <c r="AF26" i="13"/>
  <c r="AE26" i="13"/>
  <c r="AD26" i="13"/>
  <c r="AC26" i="13"/>
  <c r="AJ25" i="13"/>
  <c r="AI25" i="13"/>
  <c r="AH25" i="13"/>
  <c r="AG25" i="13"/>
  <c r="AF25" i="13"/>
  <c r="AE25" i="13"/>
  <c r="AD25" i="13"/>
  <c r="AC25" i="13"/>
  <c r="AJ24" i="13"/>
  <c r="AI24" i="13"/>
  <c r="AH24" i="13"/>
  <c r="AG24" i="13"/>
  <c r="AF24" i="13"/>
  <c r="AE24" i="13"/>
  <c r="AD24" i="13"/>
  <c r="AC24" i="13"/>
  <c r="AJ23" i="13"/>
  <c r="AI23" i="13"/>
  <c r="AH23" i="13"/>
  <c r="AG23" i="13"/>
  <c r="AF23" i="13"/>
  <c r="AE23" i="13"/>
  <c r="AD23" i="13"/>
  <c r="AC23" i="13"/>
  <c r="AJ22" i="13"/>
  <c r="AI22" i="13"/>
  <c r="AH22" i="13"/>
  <c r="AG22" i="13"/>
  <c r="AF22" i="13"/>
  <c r="AE22" i="13"/>
  <c r="AD22" i="13"/>
  <c r="AC22" i="13"/>
  <c r="AJ21" i="13"/>
  <c r="AI21" i="13"/>
  <c r="AH21" i="13"/>
  <c r="AG21" i="13"/>
  <c r="AF21" i="13"/>
  <c r="AE21" i="13"/>
  <c r="AD21" i="13"/>
  <c r="AC21" i="13"/>
  <c r="AJ20" i="13"/>
  <c r="AI20" i="13"/>
  <c r="AH20" i="13"/>
  <c r="AG20" i="13"/>
  <c r="AF20" i="13"/>
  <c r="AE20" i="13"/>
  <c r="AD20" i="13"/>
  <c r="AC20" i="13"/>
  <c r="AJ19" i="13"/>
  <c r="AI19" i="13"/>
  <c r="AH19" i="13"/>
  <c r="AG19" i="13"/>
  <c r="AF19" i="13"/>
  <c r="AE19" i="13"/>
  <c r="AD19" i="13"/>
  <c r="AC19" i="13"/>
  <c r="AJ18" i="13"/>
  <c r="AI18" i="13"/>
  <c r="AH18" i="13"/>
  <c r="AG18" i="13"/>
  <c r="AF18" i="13"/>
  <c r="AE18" i="13"/>
  <c r="AD18" i="13"/>
  <c r="AC18" i="13"/>
  <c r="AJ17" i="13"/>
  <c r="AI17" i="13"/>
  <c r="AH17" i="13"/>
  <c r="AG17" i="13"/>
  <c r="AF17" i="13"/>
  <c r="AE17" i="13"/>
  <c r="AD17" i="13"/>
  <c r="AC17" i="13"/>
  <c r="AJ16" i="13"/>
  <c r="AI16" i="13"/>
  <c r="AH16" i="13"/>
  <c r="AG16" i="13"/>
  <c r="AF16" i="13"/>
  <c r="AE16" i="13"/>
  <c r="AD16" i="13"/>
  <c r="AC16" i="13"/>
  <c r="AJ15" i="13"/>
  <c r="AI15" i="13"/>
  <c r="AH15" i="13"/>
  <c r="AG15" i="13"/>
  <c r="AF15" i="13"/>
  <c r="AE15" i="13"/>
  <c r="AD15" i="13"/>
  <c r="AC15" i="13"/>
  <c r="AJ14" i="13"/>
  <c r="AI14" i="13"/>
  <c r="AH14" i="13"/>
  <c r="AG14" i="13"/>
  <c r="AF14" i="13"/>
  <c r="AE14" i="13"/>
  <c r="AD14" i="13"/>
  <c r="AC14" i="13"/>
  <c r="AJ13" i="13"/>
  <c r="AI13" i="13"/>
  <c r="AH13" i="13"/>
  <c r="AG13" i="13"/>
  <c r="AF13" i="13"/>
  <c r="AE13" i="13"/>
  <c r="AD13" i="13"/>
  <c r="AC13" i="13"/>
  <c r="H10" i="13"/>
  <c r="BV10" i="13" s="1"/>
  <c r="BV12" i="13" s="1"/>
  <c r="S13" i="13"/>
  <c r="S14" i="13"/>
  <c r="S15" i="13"/>
  <c r="S16" i="13"/>
  <c r="S17" i="13"/>
  <c r="S18" i="13"/>
  <c r="S19" i="13"/>
  <c r="S20" i="13"/>
  <c r="S21" i="13"/>
  <c r="S22" i="13"/>
  <c r="S23" i="13"/>
  <c r="S24" i="13"/>
  <c r="S25" i="13"/>
  <c r="S26" i="13"/>
  <c r="S27" i="13"/>
  <c r="AF10" i="13" l="1"/>
  <c r="AF12" i="13" s="1"/>
  <c r="AD10" i="13"/>
  <c r="AD12" i="13" s="1"/>
  <c r="S10" i="13"/>
  <c r="S12" i="13" s="1"/>
  <c r="Y24" i="13"/>
  <c r="X24" i="13"/>
  <c r="W24" i="13"/>
  <c r="V24" i="13"/>
  <c r="U24" i="13"/>
  <c r="T24" i="13"/>
  <c r="R24" i="13"/>
  <c r="Y23" i="13"/>
  <c r="X23" i="13"/>
  <c r="W23" i="13"/>
  <c r="V23" i="13"/>
  <c r="U23" i="13"/>
  <c r="T23" i="13"/>
  <c r="R23" i="13"/>
  <c r="Y22" i="13"/>
  <c r="X22" i="13"/>
  <c r="W22" i="13"/>
  <c r="V22" i="13"/>
  <c r="U22" i="13"/>
  <c r="T22" i="13"/>
  <c r="R22" i="13"/>
  <c r="Y21" i="13"/>
  <c r="X21" i="13"/>
  <c r="W21" i="13"/>
  <c r="V21" i="13"/>
  <c r="U21" i="13"/>
  <c r="T21" i="13"/>
  <c r="R21" i="13"/>
  <c r="R14" i="13"/>
  <c r="Y27" i="13"/>
  <c r="X27" i="13"/>
  <c r="W27" i="13"/>
  <c r="V27" i="13"/>
  <c r="U27" i="13"/>
  <c r="T27" i="13"/>
  <c r="R27" i="13"/>
  <c r="Y26" i="13"/>
  <c r="X26" i="13"/>
  <c r="W26" i="13"/>
  <c r="V26" i="13"/>
  <c r="U26" i="13"/>
  <c r="T26" i="13"/>
  <c r="R26" i="13"/>
  <c r="Y25" i="13"/>
  <c r="X25" i="13"/>
  <c r="W25" i="13"/>
  <c r="V25" i="13"/>
  <c r="U25" i="13"/>
  <c r="T25" i="13"/>
  <c r="R25" i="13"/>
  <c r="Y20" i="13"/>
  <c r="X20" i="13"/>
  <c r="W20" i="13"/>
  <c r="V20" i="13"/>
  <c r="U20" i="13"/>
  <c r="T20" i="13"/>
  <c r="R20" i="13"/>
  <c r="Y19" i="13"/>
  <c r="X19" i="13"/>
  <c r="W19" i="13"/>
  <c r="V19" i="13"/>
  <c r="U19" i="13"/>
  <c r="T19" i="13"/>
  <c r="R19" i="13"/>
  <c r="Y18" i="13"/>
  <c r="X18" i="13"/>
  <c r="W18" i="13"/>
  <c r="V18" i="13"/>
  <c r="U18" i="13"/>
  <c r="T18" i="13"/>
  <c r="R18" i="13"/>
  <c r="Y17" i="13"/>
  <c r="X17" i="13"/>
  <c r="W17" i="13"/>
  <c r="V17" i="13"/>
  <c r="U17" i="13"/>
  <c r="T17" i="13"/>
  <c r="R17" i="13"/>
  <c r="Y16" i="13"/>
  <c r="X16" i="13"/>
  <c r="W16" i="13"/>
  <c r="V16" i="13"/>
  <c r="U16" i="13"/>
  <c r="T16" i="13"/>
  <c r="R16" i="13"/>
  <c r="Y15" i="13"/>
  <c r="X15" i="13"/>
  <c r="W15" i="13"/>
  <c r="V15" i="13"/>
  <c r="U15" i="13"/>
  <c r="T15" i="13"/>
  <c r="R15" i="13"/>
  <c r="Y14" i="13"/>
  <c r="X14" i="13"/>
  <c r="W14" i="13"/>
  <c r="V14" i="13"/>
  <c r="U14" i="13"/>
  <c r="T14" i="13"/>
  <c r="Y13" i="13"/>
  <c r="X13" i="13"/>
  <c r="W13" i="13"/>
  <c r="V13" i="13"/>
  <c r="U13" i="13"/>
  <c r="T13" i="13"/>
  <c r="R13" i="13"/>
  <c r="E10" i="13" l="1"/>
  <c r="BT10" i="13" s="1"/>
  <c r="BT12" i="13" s="1"/>
  <c r="F10" i="13"/>
  <c r="G10" i="13"/>
  <c r="I10" i="13"/>
  <c r="J10" i="13"/>
  <c r="BX10" i="13" s="1"/>
  <c r="BX12" i="13" s="1"/>
  <c r="L10" i="13"/>
  <c r="BY10" i="13" s="1"/>
  <c r="BY12" i="13" s="1"/>
  <c r="M10" i="13"/>
  <c r="CK10" i="13" s="1"/>
  <c r="N10" i="13"/>
  <c r="O10" i="13"/>
  <c r="CA10" i="13" l="1"/>
  <c r="CA12" i="13" s="1"/>
  <c r="X10" i="13"/>
  <c r="X12" i="13" s="1"/>
  <c r="CN10" i="13"/>
  <c r="CK12" i="13"/>
  <c r="BU10" i="13"/>
  <c r="BU12" i="13" s="1"/>
  <c r="AU10" i="13"/>
  <c r="AU12" i="13" s="1"/>
  <c r="BQ10" i="13"/>
  <c r="BQ12" i="13" s="1"/>
  <c r="BF10" i="13"/>
  <c r="BF12" i="13" s="1"/>
  <c r="AI10" i="13"/>
  <c r="AI12" i="13" s="1"/>
  <c r="W10" i="13"/>
  <c r="W12" i="13" s="1"/>
  <c r="AG10" i="13"/>
  <c r="AG12" i="13" s="1"/>
  <c r="T10" i="13"/>
  <c r="T12" i="13" s="1"/>
  <c r="AE10" i="13"/>
  <c r="AE12" i="13" s="1"/>
  <c r="Q10" i="13"/>
  <c r="Q12" i="13" s="1"/>
  <c r="AB10" i="13"/>
  <c r="AB12" i="13" s="1"/>
  <c r="F29" i="12"/>
  <c r="F39" i="12"/>
  <c r="F30" i="12"/>
  <c r="F31" i="12"/>
  <c r="F32" i="12"/>
  <c r="F33" i="12"/>
  <c r="F34" i="12"/>
  <c r="F35" i="12"/>
  <c r="F36" i="12"/>
  <c r="F37" i="12"/>
  <c r="F38" i="12"/>
  <c r="F40" i="12"/>
  <c r="F41" i="12"/>
  <c r="F42" i="12"/>
  <c r="BR10" i="13" l="1"/>
  <c r="BG10" i="13"/>
  <c r="Z10" i="13"/>
  <c r="F43" i="12"/>
  <c r="CC10" i="13" l="1"/>
  <c r="CC12" i="13" s="1"/>
  <c r="Z12" i="13"/>
  <c r="AV10" i="13"/>
  <c r="AK10" i="13" l="1"/>
  <c r="AK12" i="13" s="1"/>
</calcChain>
</file>

<file path=xl/sharedStrings.xml><?xml version="1.0" encoding="utf-8"?>
<sst xmlns="http://schemas.openxmlformats.org/spreadsheetml/2006/main" count="263" uniqueCount="152">
  <si>
    <t>IPCC</t>
    <phoneticPr fontId="1" type="noConversion"/>
  </si>
  <si>
    <t>가중치</t>
    <phoneticPr fontId="1" type="noConversion"/>
  </si>
  <si>
    <t>공통</t>
    <phoneticPr fontId="1" type="noConversion"/>
  </si>
  <si>
    <t>IPT</t>
    <phoneticPr fontId="1" type="noConversion"/>
  </si>
  <si>
    <t>CTI</t>
    <phoneticPr fontId="1" type="noConversion"/>
  </si>
  <si>
    <t>IVR</t>
    <phoneticPr fontId="1" type="noConversion"/>
  </si>
  <si>
    <t>음성봇</t>
    <phoneticPr fontId="1" type="noConversion"/>
  </si>
  <si>
    <t>PDS</t>
    <phoneticPr fontId="1" type="noConversion"/>
  </si>
  <si>
    <t>녹취</t>
    <phoneticPr fontId="1" type="noConversion"/>
  </si>
  <si>
    <t>통합관리</t>
    <phoneticPr fontId="1" type="noConversion"/>
  </si>
  <si>
    <t>관제</t>
    <phoneticPr fontId="1" type="noConversion"/>
  </si>
  <si>
    <t>교환기 스킬 라우팅</t>
    <phoneticPr fontId="1" type="noConversion"/>
  </si>
  <si>
    <t>PBX</t>
    <phoneticPr fontId="1" type="noConversion"/>
  </si>
  <si>
    <t>동일솔루션 고도화</t>
    <phoneticPr fontId="1" type="noConversion"/>
  </si>
  <si>
    <t>일반기업</t>
    <phoneticPr fontId="1" type="noConversion"/>
  </si>
  <si>
    <t>시스템 이전</t>
    <phoneticPr fontId="1" type="noConversion"/>
  </si>
  <si>
    <t>인증서비스 존재</t>
    <phoneticPr fontId="1" type="noConversion"/>
  </si>
  <si>
    <t>PM</t>
    <phoneticPr fontId="1" type="noConversion"/>
  </si>
  <si>
    <t>전광판</t>
    <phoneticPr fontId="1" type="noConversion"/>
  </si>
  <si>
    <t>감리대응</t>
    <phoneticPr fontId="1" type="noConversion"/>
  </si>
  <si>
    <t>업종</t>
    <phoneticPr fontId="1" type="noConversion"/>
  </si>
  <si>
    <t>은행</t>
    <phoneticPr fontId="1" type="noConversion"/>
  </si>
  <si>
    <t>카드</t>
    <phoneticPr fontId="1" type="noConversion"/>
  </si>
  <si>
    <t>증권</t>
    <phoneticPr fontId="1" type="noConversion"/>
  </si>
  <si>
    <t>홈쇼핑</t>
    <phoneticPr fontId="1" type="noConversion"/>
  </si>
  <si>
    <t>수행기간</t>
    <phoneticPr fontId="1" type="noConversion"/>
  </si>
  <si>
    <t>상담석수</t>
    <phoneticPr fontId="1" type="noConversion"/>
  </si>
  <si>
    <t>ARS채널수</t>
    <phoneticPr fontId="1" type="noConversion"/>
  </si>
  <si>
    <t>신규</t>
    <phoneticPr fontId="1" type="noConversion"/>
  </si>
  <si>
    <t>윈백</t>
    <phoneticPr fontId="1" type="noConversion"/>
  </si>
  <si>
    <t>100 미만</t>
    <phoneticPr fontId="1" type="noConversion"/>
  </si>
  <si>
    <t>100-500</t>
    <phoneticPr fontId="1" type="noConversion"/>
  </si>
  <si>
    <t>500-1000</t>
    <phoneticPr fontId="1" type="noConversion"/>
  </si>
  <si>
    <t>1000 이상</t>
    <phoneticPr fontId="1" type="noConversion"/>
  </si>
  <si>
    <t>기존고도화</t>
    <phoneticPr fontId="1" type="noConversion"/>
  </si>
  <si>
    <t>생명보험</t>
    <phoneticPr fontId="1" type="noConversion"/>
  </si>
  <si>
    <t>손해보험</t>
    <phoneticPr fontId="1" type="noConversion"/>
  </si>
  <si>
    <t>IVR시나리오
난이도</t>
    <phoneticPr fontId="1" type="noConversion"/>
  </si>
  <si>
    <t>생명보험/카드</t>
    <phoneticPr fontId="1" type="noConversion"/>
  </si>
  <si>
    <t>은행/증권/손해보험</t>
    <phoneticPr fontId="1" type="noConversion"/>
  </si>
  <si>
    <t>단순상담원연결</t>
    <phoneticPr fontId="1" type="noConversion"/>
  </si>
  <si>
    <t>CTI
상담그룹 수</t>
    <phoneticPr fontId="1" type="noConversion"/>
  </si>
  <si>
    <t>10~20</t>
    <phoneticPr fontId="1" type="noConversion"/>
  </si>
  <si>
    <t>20~50</t>
    <phoneticPr fontId="1" type="noConversion"/>
  </si>
  <si>
    <t>음성봇시나리오
난이도</t>
    <phoneticPr fontId="1" type="noConversion"/>
  </si>
  <si>
    <t>인증,결제포함</t>
    <phoneticPr fontId="1" type="noConversion"/>
  </si>
  <si>
    <t>일반</t>
    <phoneticPr fontId="1" type="noConversion"/>
  </si>
  <si>
    <t>고객정보연계</t>
    <phoneticPr fontId="1" type="noConversion"/>
  </si>
  <si>
    <t>IDC센터수</t>
    <phoneticPr fontId="1" type="noConversion"/>
  </si>
  <si>
    <t>단일센터</t>
    <phoneticPr fontId="1" type="noConversion"/>
  </si>
  <si>
    <t>멀티센터</t>
    <phoneticPr fontId="1" type="noConversion"/>
  </si>
  <si>
    <t>멀티+DR센터</t>
    <phoneticPr fontId="1" type="noConversion"/>
  </si>
  <si>
    <t>통합통계(STAT)</t>
    <phoneticPr fontId="1" type="noConversion"/>
  </si>
  <si>
    <t>합계</t>
    <phoneticPr fontId="1" type="noConversion"/>
  </si>
  <si>
    <t>O</t>
    <phoneticPr fontId="1" type="noConversion"/>
  </si>
  <si>
    <t>X</t>
    <phoneticPr fontId="1" type="noConversion"/>
  </si>
  <si>
    <t>구성형태</t>
    <phoneticPr fontId="1" type="noConversion"/>
  </si>
  <si>
    <t>AICC</t>
    <phoneticPr fontId="1" type="noConversion"/>
  </si>
  <si>
    <t>IPCC+AICC</t>
    <phoneticPr fontId="1" type="noConversion"/>
  </si>
  <si>
    <t>50~</t>
    <phoneticPr fontId="1" type="noConversion"/>
  </si>
  <si>
    <t>3rd Party I/F 대상 수
ex) CTI통계, IVR, 보이는ARS, 상담APP, 통합관리, 챗봇, 만족도조사
대상 수 * 1M/M</t>
    <phoneticPr fontId="1" type="noConversion"/>
  </si>
  <si>
    <t xml:space="preserve">ex) 미래에셋은 윈백, 수행기간 6개월, </t>
    <phoneticPr fontId="1" type="noConversion"/>
  </si>
  <si>
    <t>성격</t>
    <phoneticPr fontId="1" type="noConversion"/>
  </si>
  <si>
    <t>분석</t>
  </si>
  <si>
    <t>설계</t>
  </si>
  <si>
    <t>구현</t>
  </si>
  <si>
    <t>단위/통합테스트</t>
  </si>
  <si>
    <t>이행 및 모니터링</t>
  </si>
  <si>
    <t>기본공수</t>
    <phoneticPr fontId="1" type="noConversion"/>
  </si>
  <si>
    <t>SBC</t>
    <phoneticPr fontId="1" type="noConversion"/>
  </si>
  <si>
    <t>CMS</t>
    <phoneticPr fontId="1" type="noConversion"/>
  </si>
  <si>
    <t>OAMP</t>
    <phoneticPr fontId="1" type="noConversion"/>
  </si>
  <si>
    <t>CallBot</t>
    <phoneticPr fontId="1" type="noConversion"/>
  </si>
  <si>
    <t>STAT</t>
    <phoneticPr fontId="1" type="noConversion"/>
  </si>
  <si>
    <t>WFM</t>
    <phoneticPr fontId="1" type="noConversion"/>
  </si>
  <si>
    <t>계</t>
    <phoneticPr fontId="1" type="noConversion"/>
  </si>
  <si>
    <t>연동</t>
    <phoneticPr fontId="1" type="noConversion"/>
  </si>
  <si>
    <t>일반그룹 라우팅</t>
    <phoneticPr fontId="1" type="noConversion"/>
  </si>
  <si>
    <t>IVR멘트기능 수용</t>
    <phoneticPr fontId="1" type="noConversion"/>
  </si>
  <si>
    <t>일반</t>
  </si>
  <si>
    <t>Digital/말로하는 ARS</t>
    <phoneticPr fontId="1" type="noConversion"/>
  </si>
  <si>
    <t>TTS</t>
    <phoneticPr fontId="1" type="noConversion"/>
  </si>
  <si>
    <t>DTMF G/W(보이는ARS)</t>
    <phoneticPr fontId="1" type="noConversion"/>
  </si>
  <si>
    <t>보안</t>
    <phoneticPr fontId="1" type="noConversion"/>
  </si>
  <si>
    <t>중계서버(HostClient기반)</t>
    <phoneticPr fontId="1" type="noConversion"/>
  </si>
  <si>
    <t>개발/설치</t>
    <phoneticPr fontId="1" type="noConversion"/>
  </si>
  <si>
    <t>콜백서비스 존재</t>
    <phoneticPr fontId="1" type="noConversion"/>
  </si>
  <si>
    <t>화면개발</t>
    <phoneticPr fontId="1" type="noConversion"/>
  </si>
  <si>
    <t>DB</t>
    <phoneticPr fontId="1" type="noConversion"/>
  </si>
  <si>
    <t>STT</t>
    <phoneticPr fontId="1" type="noConversion"/>
  </si>
  <si>
    <t>홈쇼핑</t>
  </si>
  <si>
    <t>금융_증권</t>
  </si>
  <si>
    <t>금융_증권 외</t>
  </si>
  <si>
    <t>100 미만</t>
  </si>
  <si>
    <t>1000 이상</t>
  </si>
  <si>
    <t>100 이상 500 미만</t>
  </si>
  <si>
    <t>500 이상 1000 미만</t>
  </si>
  <si>
    <t>유형</t>
    <phoneticPr fontId="1" type="noConversion"/>
  </si>
  <si>
    <t>DR센터 존재</t>
    <phoneticPr fontId="1" type="noConversion"/>
  </si>
  <si>
    <t>상담석수</t>
  </si>
  <si>
    <t>공통정보</t>
    <phoneticPr fontId="1" type="noConversion"/>
  </si>
  <si>
    <t>해당여부 입력칸, 1=V 를 의미함</t>
    <phoneticPr fontId="1" type="noConversion"/>
  </si>
  <si>
    <t>지점수</t>
    <phoneticPr fontId="1" type="noConversion"/>
  </si>
  <si>
    <t>10 이상 40 미만</t>
    <phoneticPr fontId="1" type="noConversion"/>
  </si>
  <si>
    <t>40 이상 60 미만</t>
    <phoneticPr fontId="1" type="noConversion"/>
  </si>
  <si>
    <t>60 이상</t>
    <phoneticPr fontId="1" type="noConversion"/>
  </si>
  <si>
    <t>10 미만</t>
  </si>
  <si>
    <t>10 미만</t>
    <phoneticPr fontId="1" type="noConversion"/>
  </si>
  <si>
    <t>10 이상 20 미만</t>
  </si>
  <si>
    <t>20 이상</t>
  </si>
  <si>
    <t>기타(만족도조사,챗봇 등)</t>
    <phoneticPr fontId="1" type="noConversion"/>
  </si>
  <si>
    <t>simul. 미래에셋</t>
    <phoneticPr fontId="1" type="noConversion"/>
  </si>
  <si>
    <t>simul. 에스원</t>
    <phoneticPr fontId="1" type="noConversion"/>
  </si>
  <si>
    <t>softphone 개발</t>
    <phoneticPr fontId="1" type="noConversion"/>
  </si>
  <si>
    <t>WFM모듈</t>
    <phoneticPr fontId="1" type="noConversion"/>
  </si>
  <si>
    <t>예측/트래킹</t>
  </si>
  <si>
    <t>스케줄/근태</t>
    <phoneticPr fontId="1" type="noConversion"/>
  </si>
  <si>
    <t>인사/배치</t>
    <phoneticPr fontId="1" type="noConversion"/>
  </si>
  <si>
    <t>품질</t>
    <phoneticPr fontId="1" type="noConversion"/>
  </si>
  <si>
    <t>성과</t>
    <phoneticPr fontId="1" type="noConversion"/>
  </si>
  <si>
    <t>교육/시험/설문</t>
    <phoneticPr fontId="1" type="noConversion"/>
  </si>
  <si>
    <t>DB Migration</t>
    <phoneticPr fontId="1" type="noConversion"/>
  </si>
  <si>
    <t>기간계/처리계/정보계</t>
    <phoneticPr fontId="1" type="noConversion"/>
  </si>
  <si>
    <t>모바일 화면</t>
    <phoneticPr fontId="1" type="noConversion"/>
  </si>
  <si>
    <t>simul. 삼성생명(진행중)</t>
    <phoneticPr fontId="1" type="noConversion"/>
  </si>
  <si>
    <t>simul. 신한금융플러스™</t>
    <phoneticPr fontId="1" type="noConversion"/>
  </si>
  <si>
    <t>모바일블래이드</t>
    <phoneticPr fontId="1" type="noConversion"/>
  </si>
  <si>
    <t>Push-XML</t>
    <phoneticPr fontId="1" type="noConversion"/>
  </si>
  <si>
    <t>상담 AP</t>
    <phoneticPr fontId="1" type="noConversion"/>
  </si>
  <si>
    <t>통신사</t>
    <phoneticPr fontId="1" type="noConversion"/>
  </si>
  <si>
    <t>G450</t>
    <phoneticPr fontId="1" type="noConversion"/>
  </si>
  <si>
    <t>통계/보고서</t>
    <phoneticPr fontId="1" type="noConversion"/>
  </si>
  <si>
    <t>120본 이상</t>
    <phoneticPr fontId="1" type="noConversion"/>
  </si>
  <si>
    <t>EP</t>
    <phoneticPr fontId="1" type="noConversion"/>
  </si>
  <si>
    <t>Avaya</t>
    <phoneticPr fontId="1" type="noConversion"/>
  </si>
  <si>
    <t>통합 형상관리(별도구성)</t>
    <phoneticPr fontId="1" type="noConversion"/>
  </si>
  <si>
    <t xml:space="preserve">발신번호 서비스 </t>
    <phoneticPr fontId="1" type="noConversion"/>
  </si>
  <si>
    <t>ISAC-contact</t>
    <phoneticPr fontId="1" type="noConversion"/>
  </si>
  <si>
    <t>simul. NH손해보험</t>
    <phoneticPr fontId="1" type="noConversion"/>
  </si>
  <si>
    <t>GAP</t>
    <phoneticPr fontId="1" type="noConversion"/>
  </si>
  <si>
    <t>실공수 (PMS기준, Timereport)</t>
    <phoneticPr fontId="1" type="noConversion"/>
  </si>
  <si>
    <t>simul. 카카오뱅크 (단일솔루션, PM공수 포함)</t>
    <phoneticPr fontId="1" type="noConversion"/>
  </si>
  <si>
    <t>simul. SKB (단일솔루션, PM공수 포함)</t>
    <phoneticPr fontId="1" type="noConversion"/>
  </si>
  <si>
    <t>version</t>
    <phoneticPr fontId="1" type="noConversion"/>
  </si>
  <si>
    <t>3rd party 연동</t>
    <phoneticPr fontId="1" type="noConversion"/>
  </si>
  <si>
    <t>ISAC 자사 개발</t>
    <phoneticPr fontId="1" type="noConversion"/>
  </si>
  <si>
    <t>일반기능</t>
    <phoneticPr fontId="1" type="noConversion"/>
  </si>
  <si>
    <t>추가 요구사항</t>
    <phoneticPr fontId="1" type="noConversion"/>
  </si>
  <si>
    <t>전제 : PM 공수 제외, 책임 기준 공수 산정표</t>
    <phoneticPr fontId="1" type="noConversion"/>
  </si>
  <si>
    <t>1~40본</t>
    <phoneticPr fontId="1" type="noConversion"/>
  </si>
  <si>
    <t>41~80본</t>
    <phoneticPr fontId="1" type="noConversion"/>
  </si>
  <si>
    <t>81~120본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</si>
</sst>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[Red]\+#,##0.0;[Blue]\-#,##0.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 PC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gray0625"/>
    </fill>
    <fill>
      <patternFill patternType="solid">
        <fgColor rgb="FFFFFFCC"/>
        <bgColor indexed="64"/>
      </patternFill>
    </fill>
    <fill>
      <patternFill patternType="gray0625">
        <bgColor theme="7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>
      <alignment vertical="center"/>
    </xf>
    <xf numFmtId="0" fontId="2" fillId="3" borderId="0" xfId="0" applyFont="1" applyFill="1">
      <alignment vertical="center"/>
    </xf>
    <xf numFmtId="0" fontId="2" fillId="3" borderId="11" xfId="0" applyFont="1" applyFill="1" applyBorder="1">
      <alignment vertical="center"/>
    </xf>
    <xf numFmtId="0" fontId="2" fillId="3" borderId="10" xfId="0" applyFont="1" applyFill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2" borderId="13" xfId="0" applyFont="1" applyFill="1" applyBorder="1">
      <alignment vertical="center"/>
    </xf>
    <xf numFmtId="0" fontId="2" fillId="4" borderId="0" xfId="0" applyFont="1" applyFill="1">
      <alignment vertical="center"/>
    </xf>
    <xf numFmtId="0" fontId="2" fillId="4" borderId="10" xfId="0" applyFont="1" applyFill="1" applyBorder="1">
      <alignment vertical="center"/>
    </xf>
    <xf numFmtId="0" fontId="2" fillId="4" borderId="11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2" fontId="2" fillId="2" borderId="13" xfId="0" applyNumberFormat="1" applyFont="1" applyFill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7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1" xfId="0" applyFont="1" applyBorder="1">
      <alignment vertical="center"/>
    </xf>
    <xf numFmtId="0" fontId="2" fillId="3" borderId="20" xfId="0" applyFont="1" applyFill="1" applyBorder="1">
      <alignment vertical="center"/>
    </xf>
    <xf numFmtId="0" fontId="2" fillId="3" borderId="19" xfId="0" applyFont="1" applyFill="1" applyBorder="1">
      <alignment vertical="center"/>
    </xf>
    <xf numFmtId="0" fontId="2" fillId="3" borderId="15" xfId="0" applyFont="1" applyFill="1" applyBorder="1">
      <alignment vertical="center"/>
    </xf>
    <xf numFmtId="0" fontId="2" fillId="6" borderId="19" xfId="0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5" borderId="8" xfId="0" applyFont="1" applyFill="1" applyBorder="1">
      <alignment vertical="center"/>
    </xf>
    <xf numFmtId="0" fontId="2" fillId="0" borderId="0" xfId="0" applyFont="1" applyAlignment="1">
      <alignment horizontal="right" vertical="center"/>
    </xf>
    <xf numFmtId="176" fontId="2" fillId="2" borderId="13" xfId="0" applyNumberFormat="1" applyFont="1" applyFill="1" applyBorder="1">
      <alignment vertical="center"/>
    </xf>
    <xf numFmtId="0" fontId="2" fillId="0" borderId="6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Continuous" vertical="center"/>
    </xf>
    <xf numFmtId="0" fontId="2" fillId="0" borderId="14" xfId="0" applyFont="1" applyBorder="1" applyAlignment="1">
      <alignment horizontal="centerContinuous" vertical="center"/>
    </xf>
    <xf numFmtId="0" fontId="2" fillId="0" borderId="12" xfId="0" applyFont="1" applyBorder="1" applyAlignment="1">
      <alignment horizontal="centerContinuous" vertical="center"/>
    </xf>
    <xf numFmtId="0" fontId="2" fillId="7" borderId="0" xfId="0" applyFont="1" applyFill="1">
      <alignment vertical="center"/>
    </xf>
    <xf numFmtId="0" fontId="2" fillId="7" borderId="8" xfId="0" applyFont="1" applyFill="1" applyBorder="1">
      <alignment vertical="center"/>
    </xf>
    <xf numFmtId="0" fontId="2" fillId="7" borderId="19" xfId="0" applyFont="1" applyFill="1" applyBorder="1">
      <alignment vertical="center"/>
    </xf>
    <xf numFmtId="2" fontId="2" fillId="7" borderId="0" xfId="0" applyNumberFormat="1" applyFont="1" applyFill="1">
      <alignment vertical="center"/>
    </xf>
    <xf numFmtId="176" fontId="2" fillId="7" borderId="0" xfId="0" applyNumberFormat="1" applyFont="1" applyFill="1">
      <alignment vertical="center"/>
    </xf>
    <xf numFmtId="177" fontId="2" fillId="7" borderId="13" xfId="0" applyNumberFormat="1" applyFont="1" applyFill="1" applyBorder="1">
      <alignment vertical="center"/>
    </xf>
    <xf numFmtId="177" fontId="2" fillId="7" borderId="17" xfId="0" applyNumberFormat="1" applyFont="1" applyFill="1" applyBorder="1">
      <alignment vertical="center"/>
    </xf>
    <xf numFmtId="177" fontId="2" fillId="7" borderId="21" xfId="0" applyNumberFormat="1" applyFont="1" applyFill="1" applyBorder="1">
      <alignment vertical="center"/>
    </xf>
    <xf numFmtId="177" fontId="2" fillId="7" borderId="0" xfId="0" applyNumberFormat="1" applyFont="1" applyFill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C6553-EE34-4E17-99B7-CC064A91134C}">
  <dimension ref="B2:F43"/>
  <sheetViews>
    <sheetView workbookViewId="0">
      <pane ySplit="2" topLeftCell="A21" activePane="bottomLeft" state="frozen"/>
      <selection pane="bottomLeft" activeCell="B40" sqref="B40:B42"/>
    </sheetView>
  </sheetViews>
  <sheetFormatPr defaultColWidth="8.58203125" defaultRowHeight="14" x14ac:dyDescent="0.45"/>
  <cols>
    <col min="1" max="1" width="8.58203125" style="1"/>
    <col min="2" max="2" width="14.58203125" style="1" customWidth="1"/>
    <col min="3" max="3" width="19.58203125" style="1" bestFit="1" customWidth="1"/>
    <col min="4" max="4" width="10.5" style="1" bestFit="1" customWidth="1"/>
    <col min="5" max="5" width="29.83203125" style="1" customWidth="1"/>
    <col min="6" max="6" width="5.5" style="1" bestFit="1" customWidth="1"/>
    <col min="7" max="16384" width="8.58203125" style="1"/>
  </cols>
  <sheetData>
    <row r="2" spans="2:5" x14ac:dyDescent="0.45">
      <c r="B2" s="67" t="s">
        <v>1</v>
      </c>
      <c r="C2" s="67"/>
      <c r="D2" s="67"/>
      <c r="E2" s="1" t="s">
        <v>61</v>
      </c>
    </row>
    <row r="3" spans="2:5" x14ac:dyDescent="0.45">
      <c r="B3" s="69" t="s">
        <v>62</v>
      </c>
      <c r="C3" s="3" t="s">
        <v>28</v>
      </c>
      <c r="D3" s="4">
        <v>1</v>
      </c>
      <c r="E3" s="1" t="s">
        <v>55</v>
      </c>
    </row>
    <row r="4" spans="2:5" x14ac:dyDescent="0.45">
      <c r="B4" s="68"/>
      <c r="C4" s="3" t="s">
        <v>29</v>
      </c>
      <c r="D4" s="4">
        <v>1.3</v>
      </c>
      <c r="E4" s="1" t="s">
        <v>54</v>
      </c>
    </row>
    <row r="5" spans="2:5" x14ac:dyDescent="0.45">
      <c r="B5" s="68"/>
      <c r="C5" s="3" t="s">
        <v>34</v>
      </c>
      <c r="D5" s="4">
        <v>0.8</v>
      </c>
      <c r="E5" s="1" t="s">
        <v>55</v>
      </c>
    </row>
    <row r="6" spans="2:5" x14ac:dyDescent="0.45">
      <c r="B6" s="7" t="s">
        <v>56</v>
      </c>
      <c r="C6" s="3" t="s">
        <v>3</v>
      </c>
      <c r="D6" s="4">
        <v>0.9</v>
      </c>
      <c r="E6" s="1" t="s">
        <v>55</v>
      </c>
    </row>
    <row r="7" spans="2:5" x14ac:dyDescent="0.45">
      <c r="C7" s="3" t="s">
        <v>0</v>
      </c>
      <c r="D7" s="4">
        <v>1</v>
      </c>
      <c r="E7" s="1" t="s">
        <v>55</v>
      </c>
    </row>
    <row r="8" spans="2:5" x14ac:dyDescent="0.45">
      <c r="B8" s="8"/>
      <c r="C8" s="3" t="s">
        <v>57</v>
      </c>
      <c r="D8" s="4">
        <v>1</v>
      </c>
      <c r="E8" s="1" t="s">
        <v>55</v>
      </c>
    </row>
    <row r="9" spans="2:5" x14ac:dyDescent="0.45">
      <c r="B9" s="9"/>
      <c r="C9" s="3" t="s">
        <v>58</v>
      </c>
      <c r="D9" s="4">
        <v>1.2</v>
      </c>
      <c r="E9" s="1" t="s">
        <v>54</v>
      </c>
    </row>
    <row r="10" spans="2:5" x14ac:dyDescent="0.45">
      <c r="B10" s="5" t="s">
        <v>25</v>
      </c>
      <c r="C10" s="2"/>
      <c r="D10" s="4">
        <v>1</v>
      </c>
      <c r="E10" s="6">
        <v>6</v>
      </c>
    </row>
    <row r="11" spans="2:5" x14ac:dyDescent="0.45">
      <c r="B11" s="68" t="s">
        <v>20</v>
      </c>
      <c r="C11" s="3" t="s">
        <v>21</v>
      </c>
      <c r="D11" s="4">
        <v>1.2</v>
      </c>
      <c r="E11" s="1" t="s">
        <v>55</v>
      </c>
    </row>
    <row r="12" spans="2:5" x14ac:dyDescent="0.45">
      <c r="B12" s="68"/>
      <c r="C12" s="3" t="s">
        <v>22</v>
      </c>
      <c r="D12" s="4">
        <v>1</v>
      </c>
      <c r="E12" s="1" t="s">
        <v>55</v>
      </c>
    </row>
    <row r="13" spans="2:5" x14ac:dyDescent="0.45">
      <c r="B13" s="68"/>
      <c r="C13" s="3" t="s">
        <v>23</v>
      </c>
      <c r="D13" s="4">
        <v>1.2</v>
      </c>
      <c r="E13" s="1" t="s">
        <v>54</v>
      </c>
    </row>
    <row r="14" spans="2:5" x14ac:dyDescent="0.45">
      <c r="B14" s="68"/>
      <c r="C14" s="3" t="s">
        <v>35</v>
      </c>
      <c r="D14" s="4">
        <v>1.1000000000000001</v>
      </c>
      <c r="E14" s="1" t="s">
        <v>55</v>
      </c>
    </row>
    <row r="15" spans="2:5" x14ac:dyDescent="0.45">
      <c r="B15" s="68"/>
      <c r="C15" s="3" t="s">
        <v>36</v>
      </c>
      <c r="D15" s="4">
        <v>1.1000000000000001</v>
      </c>
      <c r="E15" s="1" t="s">
        <v>55</v>
      </c>
    </row>
    <row r="16" spans="2:5" x14ac:dyDescent="0.45">
      <c r="B16" s="68"/>
      <c r="C16" s="3" t="s">
        <v>24</v>
      </c>
      <c r="D16" s="4">
        <v>0.8</v>
      </c>
      <c r="E16" s="1" t="s">
        <v>55</v>
      </c>
    </row>
    <row r="17" spans="2:6" x14ac:dyDescent="0.45">
      <c r="B17" s="68"/>
      <c r="C17" s="3" t="s">
        <v>14</v>
      </c>
      <c r="D17" s="4">
        <v>0.9</v>
      </c>
      <c r="E17" s="1" t="s">
        <v>55</v>
      </c>
    </row>
    <row r="18" spans="2:6" x14ac:dyDescent="0.45">
      <c r="B18" s="73" t="s">
        <v>48</v>
      </c>
      <c r="C18" s="3" t="s">
        <v>49</v>
      </c>
      <c r="D18" s="4">
        <v>1</v>
      </c>
      <c r="E18" s="1" t="s">
        <v>55</v>
      </c>
    </row>
    <row r="19" spans="2:6" x14ac:dyDescent="0.45">
      <c r="B19" s="74"/>
      <c r="C19" s="3" t="s">
        <v>50</v>
      </c>
      <c r="D19" s="4">
        <v>1.2</v>
      </c>
      <c r="E19" s="1" t="s">
        <v>55</v>
      </c>
    </row>
    <row r="20" spans="2:6" x14ac:dyDescent="0.45">
      <c r="B20" s="75"/>
      <c r="C20" s="3" t="s">
        <v>51</v>
      </c>
      <c r="D20" s="4">
        <v>1.25</v>
      </c>
      <c r="E20" s="1" t="s">
        <v>54</v>
      </c>
    </row>
    <row r="21" spans="2:6" x14ac:dyDescent="0.45">
      <c r="B21" s="68" t="s">
        <v>26</v>
      </c>
      <c r="C21" s="3" t="s">
        <v>30</v>
      </c>
      <c r="D21" s="4">
        <v>0.9</v>
      </c>
    </row>
    <row r="22" spans="2:6" x14ac:dyDescent="0.45">
      <c r="B22" s="68"/>
      <c r="C22" s="3" t="s">
        <v>31</v>
      </c>
      <c r="D22" s="4">
        <v>1</v>
      </c>
    </row>
    <row r="23" spans="2:6" x14ac:dyDescent="0.45">
      <c r="B23" s="68"/>
      <c r="C23" s="3" t="s">
        <v>32</v>
      </c>
      <c r="D23" s="4">
        <v>1.1000000000000001</v>
      </c>
    </row>
    <row r="24" spans="2:6" x14ac:dyDescent="0.45">
      <c r="B24" s="68"/>
      <c r="C24" s="3" t="s">
        <v>33</v>
      </c>
      <c r="D24" s="4">
        <v>1.2</v>
      </c>
      <c r="E24" s="1" t="s">
        <v>54</v>
      </c>
    </row>
    <row r="25" spans="2:6" x14ac:dyDescent="0.45">
      <c r="B25" s="68" t="s">
        <v>27</v>
      </c>
      <c r="C25" s="3" t="s">
        <v>30</v>
      </c>
      <c r="D25" s="4">
        <v>0.9</v>
      </c>
    </row>
    <row r="26" spans="2:6" x14ac:dyDescent="0.45">
      <c r="B26" s="68"/>
      <c r="C26" s="3" t="s">
        <v>31</v>
      </c>
      <c r="D26" s="4">
        <v>1</v>
      </c>
    </row>
    <row r="27" spans="2:6" x14ac:dyDescent="0.45">
      <c r="B27" s="68"/>
      <c r="C27" s="3" t="s">
        <v>32</v>
      </c>
      <c r="D27" s="4">
        <v>1.1000000000000001</v>
      </c>
    </row>
    <row r="28" spans="2:6" x14ac:dyDescent="0.45">
      <c r="B28" s="68"/>
      <c r="C28" s="3" t="s">
        <v>33</v>
      </c>
      <c r="D28" s="4">
        <v>1.2</v>
      </c>
      <c r="E28" s="1" t="s">
        <v>54</v>
      </c>
    </row>
    <row r="29" spans="2:6" x14ac:dyDescent="0.45">
      <c r="B29" s="5" t="s">
        <v>17</v>
      </c>
      <c r="C29" s="3"/>
      <c r="D29" s="4"/>
      <c r="F29" s="1">
        <f>$E$10</f>
        <v>6</v>
      </c>
    </row>
    <row r="30" spans="2:6" x14ac:dyDescent="0.45">
      <c r="B30" s="5" t="s">
        <v>12</v>
      </c>
      <c r="C30" s="3"/>
      <c r="D30" s="4">
        <v>1</v>
      </c>
      <c r="E30" s="1" t="s">
        <v>54</v>
      </c>
      <c r="F30" s="1">
        <f t="shared" ref="F30:F38" si="0">IF(E30="O",E$10*D30,0)</f>
        <v>6</v>
      </c>
    </row>
    <row r="31" spans="2:6" ht="34.75" customHeight="1" x14ac:dyDescent="0.45">
      <c r="B31" s="69" t="s">
        <v>41</v>
      </c>
      <c r="C31" s="3" t="s">
        <v>59</v>
      </c>
      <c r="D31" s="4">
        <v>1.2</v>
      </c>
      <c r="E31" s="1" t="s">
        <v>54</v>
      </c>
      <c r="F31" s="1">
        <f t="shared" si="0"/>
        <v>7.1999999999999993</v>
      </c>
    </row>
    <row r="32" spans="2:6" x14ac:dyDescent="0.45">
      <c r="B32" s="69"/>
      <c r="C32" s="3" t="s">
        <v>43</v>
      </c>
      <c r="D32" s="4">
        <v>1.1000000000000001</v>
      </c>
      <c r="F32" s="1">
        <f t="shared" si="0"/>
        <v>0</v>
      </c>
    </row>
    <row r="33" spans="2:6" x14ac:dyDescent="0.45">
      <c r="B33" s="69"/>
      <c r="C33" s="3" t="s">
        <v>42</v>
      </c>
      <c r="D33" s="4">
        <v>1</v>
      </c>
      <c r="F33" s="1">
        <f t="shared" si="0"/>
        <v>0</v>
      </c>
    </row>
    <row r="34" spans="2:6" ht="34.75" customHeight="1" x14ac:dyDescent="0.45">
      <c r="B34" s="69" t="s">
        <v>37</v>
      </c>
      <c r="C34" s="3" t="s">
        <v>39</v>
      </c>
      <c r="D34" s="4">
        <v>2.2000000000000002</v>
      </c>
      <c r="E34" s="1" t="s">
        <v>54</v>
      </c>
      <c r="F34" s="1">
        <f t="shared" si="0"/>
        <v>13.200000000000001</v>
      </c>
    </row>
    <row r="35" spans="2:6" x14ac:dyDescent="0.45">
      <c r="B35" s="69"/>
      <c r="C35" s="3" t="s">
        <v>38</v>
      </c>
      <c r="D35" s="4">
        <v>2</v>
      </c>
      <c r="F35" s="1">
        <f t="shared" si="0"/>
        <v>0</v>
      </c>
    </row>
    <row r="36" spans="2:6" x14ac:dyDescent="0.45">
      <c r="B36" s="69"/>
      <c r="C36" s="3" t="s">
        <v>14</v>
      </c>
      <c r="D36" s="4">
        <v>1.8</v>
      </c>
      <c r="F36" s="1">
        <f t="shared" si="0"/>
        <v>0</v>
      </c>
    </row>
    <row r="37" spans="2:6" x14ac:dyDescent="0.45">
      <c r="B37" s="69"/>
      <c r="C37" s="3" t="s">
        <v>24</v>
      </c>
      <c r="D37" s="4">
        <v>1.6</v>
      </c>
      <c r="F37" s="1">
        <f t="shared" si="0"/>
        <v>0</v>
      </c>
    </row>
    <row r="38" spans="2:6" x14ac:dyDescent="0.45">
      <c r="B38" s="69"/>
      <c r="C38" s="3" t="s">
        <v>40</v>
      </c>
      <c r="D38" s="4">
        <v>1</v>
      </c>
      <c r="F38" s="1">
        <f t="shared" si="0"/>
        <v>0</v>
      </c>
    </row>
    <row r="39" spans="2:6" ht="70" x14ac:dyDescent="0.45">
      <c r="B39" s="5" t="s">
        <v>52</v>
      </c>
      <c r="C39" s="10" t="s">
        <v>60</v>
      </c>
      <c r="D39" s="4">
        <v>1.5</v>
      </c>
      <c r="E39" s="1">
        <v>9</v>
      </c>
      <c r="F39" s="1">
        <f>D39*E39</f>
        <v>13.5</v>
      </c>
    </row>
    <row r="40" spans="2:6" ht="34.75" customHeight="1" x14ac:dyDescent="0.45">
      <c r="B40" s="70" t="s">
        <v>44</v>
      </c>
      <c r="C40" s="3" t="s">
        <v>45</v>
      </c>
      <c r="D40" s="4">
        <v>1.2</v>
      </c>
      <c r="F40" s="1">
        <f>IF(E40="O",E$10*D40,0)</f>
        <v>0</v>
      </c>
    </row>
    <row r="41" spans="2:6" x14ac:dyDescent="0.45">
      <c r="B41" s="71"/>
      <c r="C41" s="3" t="s">
        <v>47</v>
      </c>
      <c r="D41" s="4">
        <v>1.1000000000000001</v>
      </c>
      <c r="F41" s="1">
        <f>IF(E41="O",E$10*D41,0)</f>
        <v>0</v>
      </c>
    </row>
    <row r="42" spans="2:6" x14ac:dyDescent="0.45">
      <c r="B42" s="72"/>
      <c r="C42" s="3" t="s">
        <v>46</v>
      </c>
      <c r="D42" s="4">
        <v>1</v>
      </c>
      <c r="F42" s="1">
        <f>IF(E42="O",E$10*D42,0)</f>
        <v>0</v>
      </c>
    </row>
    <row r="43" spans="2:6" x14ac:dyDescent="0.45">
      <c r="B43" s="76" t="s">
        <v>53</v>
      </c>
      <c r="C43" s="76"/>
      <c r="D43" s="76"/>
      <c r="F43" s="1">
        <f>SUM(F3:F42)</f>
        <v>45.9</v>
      </c>
    </row>
  </sheetData>
  <mergeCells count="10">
    <mergeCell ref="B34:B38"/>
    <mergeCell ref="B31:B33"/>
    <mergeCell ref="B40:B42"/>
    <mergeCell ref="B18:B20"/>
    <mergeCell ref="B43:D43"/>
    <mergeCell ref="B2:D2"/>
    <mergeCell ref="B11:B17"/>
    <mergeCell ref="B21:B24"/>
    <mergeCell ref="B25:B28"/>
    <mergeCell ref="B3:B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2838-8C3F-49B5-9219-C902E8969810}">
  <dimension ref="A1:CN79"/>
  <sheetViews>
    <sheetView showGridLines="0" tabSelected="1" zoomScale="90" zoomScaleNormal="90" workbookViewId="0">
      <pane xSplit="16" ySplit="12" topLeftCell="Q13" activePane="bottomRight" state="frozen"/>
      <selection pane="topRight" activeCell="Q1" sqref="Q1"/>
      <selection pane="bottomLeft" activeCell="A13" sqref="A13"/>
      <selection pane="bottomRight" activeCell="CU14" sqref="CU14"/>
    </sheetView>
  </sheetViews>
  <sheetFormatPr defaultColWidth="8.58203125" defaultRowHeight="14" x14ac:dyDescent="0.45"/>
  <cols>
    <col min="1" max="1" width="2.08203125" style="1" customWidth="1"/>
    <col min="2" max="2" width="10.75" style="1" customWidth="1"/>
    <col min="3" max="3" width="11.33203125" style="1" customWidth="1"/>
    <col min="4" max="4" width="14.58203125" style="1" customWidth="1"/>
    <col min="5" max="15" width="6.08203125" style="1" customWidth="1"/>
    <col min="16" max="16" width="3.08203125" style="1" customWidth="1"/>
    <col min="17" max="26" width="5.58203125" style="1" customWidth="1"/>
    <col min="27" max="27" width="3.08203125" style="1" customWidth="1"/>
    <col min="28" max="37" width="5.58203125" style="1" hidden="1" customWidth="1"/>
    <col min="38" max="38" width="2.83203125" style="1" hidden="1" customWidth="1"/>
    <col min="39" max="48" width="5.58203125" style="1" hidden="1" customWidth="1"/>
    <col min="49" max="49" width="2.83203125" style="1" hidden="1" customWidth="1"/>
    <col min="50" max="59" width="5.58203125" style="1" hidden="1" customWidth="1"/>
    <col min="60" max="60" width="3.33203125" style="1" hidden="1" customWidth="1"/>
    <col min="61" max="70" width="5.58203125" style="1" hidden="1" customWidth="1"/>
    <col min="71" max="71" width="2.75" style="1" hidden="1" customWidth="1"/>
    <col min="72" max="81" width="5.58203125" style="1" hidden="1" customWidth="1"/>
    <col min="82" max="82" width="2.83203125" style="1" hidden="1" customWidth="1"/>
    <col min="83" max="92" width="5.58203125" style="1" hidden="1" customWidth="1"/>
    <col min="93" max="16384" width="8.58203125" style="1"/>
  </cols>
  <sheetData>
    <row r="1" spans="2:92" x14ac:dyDescent="0.45">
      <c r="B1" s="1" t="s">
        <v>148</v>
      </c>
      <c r="Q1" s="22" t="s">
        <v>101</v>
      </c>
      <c r="R1" s="22"/>
      <c r="S1" s="22"/>
      <c r="AB1" s="22" t="s">
        <v>101</v>
      </c>
      <c r="AC1" s="22"/>
      <c r="AD1" s="22"/>
      <c r="AM1" s="22" t="s">
        <v>101</v>
      </c>
      <c r="AN1" s="22"/>
      <c r="AO1" s="22"/>
      <c r="AX1" s="22" t="s">
        <v>101</v>
      </c>
      <c r="AY1" s="22"/>
      <c r="AZ1" s="22"/>
      <c r="BI1" s="22" t="s">
        <v>101</v>
      </c>
      <c r="BJ1" s="22"/>
      <c r="BK1" s="22"/>
      <c r="BT1" s="22" t="s">
        <v>101</v>
      </c>
      <c r="BU1" s="22"/>
      <c r="BV1" s="22"/>
      <c r="CE1" s="22" t="s">
        <v>101</v>
      </c>
      <c r="CF1" s="22"/>
      <c r="CG1" s="22"/>
    </row>
    <row r="2" spans="2:92" ht="14.5" thickBot="1" x14ac:dyDescent="0.5">
      <c r="Q2" s="1" t="s">
        <v>112</v>
      </c>
      <c r="AB2" s="1" t="s">
        <v>111</v>
      </c>
      <c r="AM2" s="1" t="s">
        <v>142</v>
      </c>
      <c r="AX2" s="1" t="s">
        <v>141</v>
      </c>
      <c r="BI2" s="1" t="s">
        <v>124</v>
      </c>
      <c r="BT2" s="1" t="s">
        <v>125</v>
      </c>
      <c r="CE2" s="1" t="s">
        <v>138</v>
      </c>
    </row>
    <row r="3" spans="2:92" ht="15.65" customHeight="1" thickTop="1" x14ac:dyDescent="0.45">
      <c r="B3" s="13" t="s">
        <v>68</v>
      </c>
      <c r="C3" s="13"/>
      <c r="D3" s="13"/>
      <c r="E3" s="30" t="s">
        <v>12</v>
      </c>
      <c r="F3" s="14" t="s">
        <v>69</v>
      </c>
      <c r="G3" s="55" t="s">
        <v>4</v>
      </c>
      <c r="H3" s="56"/>
      <c r="I3" s="14" t="s">
        <v>70</v>
      </c>
      <c r="J3" s="55" t="s">
        <v>5</v>
      </c>
      <c r="K3" s="57"/>
      <c r="L3" s="30" t="s">
        <v>71</v>
      </c>
      <c r="M3" s="30" t="s">
        <v>72</v>
      </c>
      <c r="N3" s="14" t="s">
        <v>73</v>
      </c>
      <c r="O3" s="38" t="s">
        <v>74</v>
      </c>
      <c r="Q3" s="14" t="s">
        <v>12</v>
      </c>
      <c r="R3" s="14" t="s">
        <v>69</v>
      </c>
      <c r="S3" s="14" t="s">
        <v>4</v>
      </c>
      <c r="T3" s="14" t="s">
        <v>70</v>
      </c>
      <c r="U3" s="14" t="s">
        <v>5</v>
      </c>
      <c r="V3" s="14" t="s">
        <v>71</v>
      </c>
      <c r="W3" s="14" t="s">
        <v>72</v>
      </c>
      <c r="X3" s="14" t="s">
        <v>73</v>
      </c>
      <c r="Y3" s="14" t="s">
        <v>74</v>
      </c>
      <c r="Z3" s="14" t="s">
        <v>75</v>
      </c>
      <c r="AB3" s="14" t="s">
        <v>12</v>
      </c>
      <c r="AC3" s="14" t="s">
        <v>69</v>
      </c>
      <c r="AD3" s="14" t="s">
        <v>4</v>
      </c>
      <c r="AE3" s="14" t="s">
        <v>70</v>
      </c>
      <c r="AF3" s="14" t="s">
        <v>5</v>
      </c>
      <c r="AG3" s="14" t="s">
        <v>71</v>
      </c>
      <c r="AH3" s="14" t="s">
        <v>72</v>
      </c>
      <c r="AI3" s="14" t="s">
        <v>73</v>
      </c>
      <c r="AJ3" s="14" t="s">
        <v>74</v>
      </c>
      <c r="AK3" s="14" t="s">
        <v>75</v>
      </c>
      <c r="AM3" s="14" t="s">
        <v>12</v>
      </c>
      <c r="AN3" s="14" t="s">
        <v>69</v>
      </c>
      <c r="AO3" s="14" t="s">
        <v>4</v>
      </c>
      <c r="AP3" s="14" t="s">
        <v>70</v>
      </c>
      <c r="AQ3" s="14" t="s">
        <v>5</v>
      </c>
      <c r="AR3" s="14" t="s">
        <v>71</v>
      </c>
      <c r="AS3" s="14" t="s">
        <v>72</v>
      </c>
      <c r="AT3" s="14" t="s">
        <v>73</v>
      </c>
      <c r="AU3" s="14" t="s">
        <v>74</v>
      </c>
      <c r="AV3" s="14" t="s">
        <v>75</v>
      </c>
      <c r="AX3" s="14" t="s">
        <v>12</v>
      </c>
      <c r="AY3" s="14" t="s">
        <v>69</v>
      </c>
      <c r="AZ3" s="14" t="s">
        <v>4</v>
      </c>
      <c r="BA3" s="14" t="s">
        <v>70</v>
      </c>
      <c r="BB3" s="14" t="s">
        <v>5</v>
      </c>
      <c r="BC3" s="14" t="s">
        <v>71</v>
      </c>
      <c r="BD3" s="14" t="s">
        <v>72</v>
      </c>
      <c r="BE3" s="14" t="s">
        <v>73</v>
      </c>
      <c r="BF3" s="14" t="s">
        <v>74</v>
      </c>
      <c r="BG3" s="14" t="s">
        <v>75</v>
      </c>
      <c r="BI3" s="14" t="s">
        <v>12</v>
      </c>
      <c r="BJ3" s="14" t="s">
        <v>69</v>
      </c>
      <c r="BK3" s="14" t="s">
        <v>4</v>
      </c>
      <c r="BL3" s="14" t="s">
        <v>70</v>
      </c>
      <c r="BM3" s="14" t="s">
        <v>5</v>
      </c>
      <c r="BN3" s="14" t="s">
        <v>71</v>
      </c>
      <c r="BO3" s="14" t="s">
        <v>72</v>
      </c>
      <c r="BP3" s="14" t="s">
        <v>73</v>
      </c>
      <c r="BQ3" s="14" t="s">
        <v>74</v>
      </c>
      <c r="BR3" s="14" t="s">
        <v>75</v>
      </c>
      <c r="BT3" s="14" t="s">
        <v>12</v>
      </c>
      <c r="BU3" s="14" t="s">
        <v>69</v>
      </c>
      <c r="BV3" s="14" t="s">
        <v>4</v>
      </c>
      <c r="BW3" s="14" t="s">
        <v>70</v>
      </c>
      <c r="BX3" s="14" t="s">
        <v>5</v>
      </c>
      <c r="BY3" s="14" t="s">
        <v>71</v>
      </c>
      <c r="BZ3" s="14" t="s">
        <v>72</v>
      </c>
      <c r="CA3" s="14" t="s">
        <v>73</v>
      </c>
      <c r="CB3" s="14" t="s">
        <v>74</v>
      </c>
      <c r="CC3" s="14" t="s">
        <v>75</v>
      </c>
      <c r="CE3" s="14" t="s">
        <v>12</v>
      </c>
      <c r="CF3" s="14" t="s">
        <v>69</v>
      </c>
      <c r="CG3" s="14" t="s">
        <v>4</v>
      </c>
      <c r="CH3" s="14" t="s">
        <v>70</v>
      </c>
      <c r="CI3" s="14" t="s">
        <v>5</v>
      </c>
      <c r="CJ3" s="14" t="s">
        <v>71</v>
      </c>
      <c r="CK3" s="14" t="s">
        <v>72</v>
      </c>
      <c r="CL3" s="14" t="s">
        <v>73</v>
      </c>
      <c r="CM3" s="14" t="s">
        <v>74</v>
      </c>
      <c r="CN3" s="14" t="s">
        <v>75</v>
      </c>
    </row>
    <row r="4" spans="2:92" x14ac:dyDescent="0.45">
      <c r="D4" s="49" t="s">
        <v>143</v>
      </c>
      <c r="E4" s="47" t="s">
        <v>134</v>
      </c>
      <c r="F4" s="51"/>
      <c r="G4" s="52">
        <v>5</v>
      </c>
      <c r="H4" s="52">
        <v>4</v>
      </c>
      <c r="I4" s="47" t="s">
        <v>134</v>
      </c>
      <c r="J4" s="47">
        <v>3.1</v>
      </c>
      <c r="K4" s="47" t="s">
        <v>133</v>
      </c>
      <c r="L4" s="47">
        <v>3.5</v>
      </c>
      <c r="M4" s="52">
        <v>3</v>
      </c>
      <c r="N4" s="53">
        <v>2</v>
      </c>
      <c r="O4" s="54">
        <v>4</v>
      </c>
      <c r="Q4" s="26"/>
      <c r="R4" s="26"/>
      <c r="S4" s="27">
        <v>4</v>
      </c>
      <c r="T4" s="26"/>
      <c r="U4" s="26"/>
      <c r="V4" s="26"/>
      <c r="W4" s="26"/>
      <c r="X4" s="26"/>
      <c r="Y4" s="26"/>
      <c r="Z4" s="26"/>
      <c r="AB4" s="26"/>
      <c r="AC4" s="26"/>
      <c r="AD4" s="27">
        <v>4</v>
      </c>
      <c r="AE4" s="26"/>
      <c r="AF4" s="26" t="s">
        <v>133</v>
      </c>
      <c r="AG4" s="26"/>
      <c r="AH4" s="26"/>
      <c r="AI4" s="26"/>
      <c r="AJ4" s="26"/>
      <c r="AK4" s="26"/>
      <c r="AM4" s="26"/>
      <c r="AN4" s="26"/>
      <c r="AO4" s="27">
        <v>5</v>
      </c>
      <c r="AP4" s="26"/>
      <c r="AQ4" s="26"/>
      <c r="AR4" s="26"/>
      <c r="AS4" s="26"/>
      <c r="AT4" s="26"/>
      <c r="AU4" s="26"/>
      <c r="AV4" s="26"/>
      <c r="AX4" s="26"/>
      <c r="AY4" s="26"/>
      <c r="AZ4" s="27">
        <v>5</v>
      </c>
      <c r="BA4" s="26"/>
      <c r="BB4" s="26"/>
      <c r="BC4" s="26"/>
      <c r="BD4" s="26"/>
      <c r="BE4" s="26"/>
      <c r="BF4" s="26"/>
      <c r="BG4" s="26"/>
      <c r="BI4" s="26"/>
      <c r="BJ4" s="26"/>
      <c r="BK4" s="27">
        <v>5</v>
      </c>
      <c r="BL4" s="26"/>
      <c r="BM4" s="26"/>
      <c r="BN4" s="26"/>
      <c r="BO4" s="26"/>
      <c r="BP4" s="26"/>
      <c r="BQ4" s="26"/>
      <c r="BR4" s="26"/>
      <c r="BT4" s="26"/>
      <c r="BU4" s="26"/>
      <c r="BV4" s="27">
        <v>4</v>
      </c>
      <c r="BW4" s="26"/>
      <c r="BX4" s="26">
        <v>3.1</v>
      </c>
      <c r="BY4" s="26"/>
      <c r="BZ4" s="26"/>
      <c r="CA4" s="26"/>
      <c r="CB4" s="26"/>
      <c r="CC4" s="26"/>
      <c r="CE4" s="26"/>
      <c r="CF4" s="26"/>
      <c r="CG4" s="27"/>
      <c r="CH4" s="26"/>
      <c r="CI4" s="26"/>
      <c r="CJ4" s="26"/>
      <c r="CK4" s="26"/>
      <c r="CL4" s="26"/>
      <c r="CM4" s="26"/>
      <c r="CN4" s="26"/>
    </row>
    <row r="5" spans="2:92" x14ac:dyDescent="0.45">
      <c r="B5" s="11" t="s">
        <v>63</v>
      </c>
      <c r="C5" s="11"/>
      <c r="D5" s="11"/>
      <c r="E5" s="31">
        <v>1</v>
      </c>
      <c r="F5" s="11">
        <v>0.5</v>
      </c>
      <c r="G5" s="31">
        <v>1</v>
      </c>
      <c r="H5" s="31">
        <v>0.25</v>
      </c>
      <c r="I5" s="11">
        <v>0.25</v>
      </c>
      <c r="J5" s="39">
        <v>0.5</v>
      </c>
      <c r="K5" s="39">
        <v>0.5</v>
      </c>
      <c r="L5" s="31">
        <v>0.25</v>
      </c>
      <c r="M5" s="31">
        <v>1</v>
      </c>
      <c r="N5" s="11">
        <v>1.5</v>
      </c>
      <c r="O5" s="39">
        <v>1.5</v>
      </c>
      <c r="Q5" s="18"/>
      <c r="R5" s="18"/>
      <c r="S5" s="18"/>
      <c r="T5" s="18"/>
      <c r="U5" s="18"/>
      <c r="V5" s="18"/>
      <c r="W5" s="18"/>
      <c r="X5" s="18"/>
      <c r="Y5" s="18"/>
      <c r="Z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E5" s="18"/>
      <c r="CF5" s="18"/>
      <c r="CG5" s="18"/>
      <c r="CH5" s="18"/>
      <c r="CI5" s="18"/>
      <c r="CJ5" s="18"/>
      <c r="CK5" s="18"/>
      <c r="CL5" s="18"/>
      <c r="CM5" s="18"/>
      <c r="CN5" s="18"/>
    </row>
    <row r="6" spans="2:92" x14ac:dyDescent="0.45">
      <c r="B6" s="1" t="s">
        <v>64</v>
      </c>
      <c r="E6" s="32">
        <v>1</v>
      </c>
      <c r="F6" s="1">
        <v>0.5</v>
      </c>
      <c r="G6" s="32">
        <v>1</v>
      </c>
      <c r="H6" s="32">
        <v>0.25</v>
      </c>
      <c r="I6" s="1">
        <v>0.25</v>
      </c>
      <c r="J6" s="40">
        <v>0.5</v>
      </c>
      <c r="K6" s="40">
        <v>0.5</v>
      </c>
      <c r="L6" s="32">
        <v>0.25</v>
      </c>
      <c r="M6" s="32">
        <v>1</v>
      </c>
      <c r="N6" s="1">
        <v>1.5</v>
      </c>
      <c r="O6" s="40">
        <v>1.5</v>
      </c>
      <c r="Q6" s="16"/>
      <c r="R6" s="16"/>
      <c r="S6" s="16"/>
      <c r="T6" s="16"/>
      <c r="U6" s="16"/>
      <c r="V6" s="16"/>
      <c r="W6" s="16"/>
      <c r="X6" s="16"/>
      <c r="Y6" s="16"/>
      <c r="Z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E6" s="16"/>
      <c r="CF6" s="16"/>
      <c r="CG6" s="16"/>
      <c r="CH6" s="16"/>
      <c r="CI6" s="16"/>
      <c r="CJ6" s="16"/>
      <c r="CK6" s="16"/>
      <c r="CL6" s="16"/>
      <c r="CM6" s="16"/>
      <c r="CN6" s="16"/>
    </row>
    <row r="7" spans="2:92" x14ac:dyDescent="0.45">
      <c r="B7" s="1" t="s">
        <v>65</v>
      </c>
      <c r="E7" s="32">
        <v>2</v>
      </c>
      <c r="F7" s="1">
        <v>1</v>
      </c>
      <c r="G7" s="32">
        <v>2</v>
      </c>
      <c r="H7" s="32">
        <v>0.5</v>
      </c>
      <c r="I7" s="1">
        <v>2</v>
      </c>
      <c r="J7" s="40">
        <v>3.5</v>
      </c>
      <c r="K7" s="40">
        <v>3.5</v>
      </c>
      <c r="L7" s="32">
        <v>1</v>
      </c>
      <c r="M7" s="32">
        <v>9</v>
      </c>
      <c r="N7" s="1">
        <v>3</v>
      </c>
      <c r="O7" s="40">
        <v>3</v>
      </c>
      <c r="Q7" s="16"/>
      <c r="R7" s="16"/>
      <c r="S7" s="16"/>
      <c r="T7" s="16"/>
      <c r="U7" s="16"/>
      <c r="V7" s="16"/>
      <c r="W7" s="16"/>
      <c r="X7" s="16"/>
      <c r="Y7" s="16"/>
      <c r="Z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E7" s="16"/>
      <c r="CF7" s="16"/>
      <c r="CG7" s="16"/>
      <c r="CH7" s="16"/>
      <c r="CI7" s="16"/>
      <c r="CJ7" s="16"/>
      <c r="CK7" s="16"/>
      <c r="CL7" s="16"/>
      <c r="CM7" s="16"/>
      <c r="CN7" s="16"/>
    </row>
    <row r="8" spans="2:92" x14ac:dyDescent="0.45">
      <c r="B8" s="1" t="s">
        <v>66</v>
      </c>
      <c r="E8" s="32">
        <v>1</v>
      </c>
      <c r="F8" s="1">
        <v>0.5</v>
      </c>
      <c r="G8" s="32">
        <v>1</v>
      </c>
      <c r="H8" s="32">
        <v>0.5</v>
      </c>
      <c r="I8" s="1">
        <v>1</v>
      </c>
      <c r="J8" s="40">
        <v>1</v>
      </c>
      <c r="K8" s="40">
        <v>1</v>
      </c>
      <c r="L8" s="32">
        <v>0.25</v>
      </c>
      <c r="M8" s="32">
        <v>0.75</v>
      </c>
      <c r="N8" s="1">
        <v>1</v>
      </c>
      <c r="O8" s="40">
        <v>1</v>
      </c>
      <c r="Q8" s="16"/>
      <c r="R8" s="16"/>
      <c r="S8" s="16"/>
      <c r="T8" s="16"/>
      <c r="U8" s="16"/>
      <c r="V8" s="16"/>
      <c r="W8" s="16"/>
      <c r="X8" s="16"/>
      <c r="Y8" s="16"/>
      <c r="Z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E8" s="16"/>
      <c r="CF8" s="16"/>
      <c r="CG8" s="16"/>
      <c r="CH8" s="16"/>
      <c r="CI8" s="16"/>
      <c r="CJ8" s="16"/>
      <c r="CK8" s="16"/>
      <c r="CL8" s="16"/>
      <c r="CM8" s="16"/>
      <c r="CN8" s="16"/>
    </row>
    <row r="9" spans="2:92" x14ac:dyDescent="0.45">
      <c r="B9" s="1" t="s">
        <v>67</v>
      </c>
      <c r="E9" s="33">
        <v>1</v>
      </c>
      <c r="F9" s="12">
        <v>1</v>
      </c>
      <c r="G9" s="33">
        <v>1</v>
      </c>
      <c r="H9" s="33">
        <v>0.5</v>
      </c>
      <c r="I9" s="12">
        <v>0.5</v>
      </c>
      <c r="J9" s="29">
        <v>0.25</v>
      </c>
      <c r="K9" s="29">
        <v>0.25</v>
      </c>
      <c r="L9" s="33">
        <v>0.25</v>
      </c>
      <c r="M9" s="33">
        <v>0.25</v>
      </c>
      <c r="N9" s="12">
        <v>1</v>
      </c>
      <c r="O9" s="29">
        <v>1</v>
      </c>
      <c r="Q9" s="17"/>
      <c r="R9" s="17"/>
      <c r="S9" s="17"/>
      <c r="T9" s="17"/>
      <c r="U9" s="17"/>
      <c r="V9" s="17"/>
      <c r="W9" s="17"/>
      <c r="X9" s="17"/>
      <c r="Y9" s="17"/>
      <c r="Z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E9" s="17"/>
      <c r="CF9" s="17"/>
      <c r="CG9" s="17"/>
      <c r="CH9" s="17"/>
      <c r="CI9" s="17"/>
      <c r="CJ9" s="17"/>
      <c r="CK9" s="17"/>
      <c r="CL9" s="17"/>
      <c r="CM9" s="17"/>
      <c r="CN9" s="17"/>
    </row>
    <row r="10" spans="2:92" ht="14.5" thickBot="1" x14ac:dyDescent="0.5">
      <c r="B10" s="15"/>
      <c r="C10" s="15"/>
      <c r="D10" s="15"/>
      <c r="E10" s="34">
        <f>SUM(E5:E9)</f>
        <v>6</v>
      </c>
      <c r="F10" s="15">
        <f t="shared" ref="F10:O10" si="0">SUM(F5:F9)</f>
        <v>3.5</v>
      </c>
      <c r="G10" s="34">
        <f t="shared" si="0"/>
        <v>6</v>
      </c>
      <c r="H10" s="34">
        <f t="shared" ref="H10" si="1">SUM(H5:H9)</f>
        <v>2</v>
      </c>
      <c r="I10" s="15">
        <f t="shared" si="0"/>
        <v>4</v>
      </c>
      <c r="J10" s="41">
        <f t="shared" si="0"/>
        <v>5.75</v>
      </c>
      <c r="K10" s="41">
        <f t="shared" ref="K10" si="2">SUM(K5:K9)</f>
        <v>5.75</v>
      </c>
      <c r="L10" s="34">
        <f t="shared" si="0"/>
        <v>2</v>
      </c>
      <c r="M10" s="34">
        <f t="shared" si="0"/>
        <v>12</v>
      </c>
      <c r="N10" s="15">
        <f t="shared" si="0"/>
        <v>8</v>
      </c>
      <c r="O10" s="41">
        <f t="shared" si="0"/>
        <v>8</v>
      </c>
      <c r="Q10" s="21">
        <f>SUMPRODUCT(E13:E79,Q13:Q79)*E$10</f>
        <v>7.6800000000000015</v>
      </c>
      <c r="R10" s="21"/>
      <c r="S10" s="21">
        <f>SUMPRODUCT(H13:H79,S13:S79)*H$10</f>
        <v>9.0599999999999987</v>
      </c>
      <c r="T10" s="21">
        <f>SUMPRODUCT(I13:I79,T13:T79)*I$10</f>
        <v>5.2</v>
      </c>
      <c r="U10" s="28"/>
      <c r="V10" s="21"/>
      <c r="W10" s="21">
        <f>SUMPRODUCT(M13:M79,W13:W79)*M$10</f>
        <v>13.200000000000001</v>
      </c>
      <c r="X10" s="21">
        <f>SUMPRODUCT(N13:N79,X13:X79)*N$10</f>
        <v>14.880000000000003</v>
      </c>
      <c r="Y10" s="21"/>
      <c r="Z10" s="21">
        <f>SUM(Q10:Y10)</f>
        <v>50.02</v>
      </c>
      <c r="AB10" s="21">
        <f>SUMPRODUCT(E13:E79,AB13:AB79)*E$10</f>
        <v>17.459999999999997</v>
      </c>
      <c r="AC10" s="21"/>
      <c r="AD10" s="21">
        <f>SUMPRODUCT(H13:H79,AD13:AD79)*H$10</f>
        <v>9.120000000000001</v>
      </c>
      <c r="AE10" s="21">
        <f>SUMPRODUCT(I13:I79,AE13:AE79)*I$10</f>
        <v>6.2</v>
      </c>
      <c r="AF10" s="28">
        <f>SUMPRODUCT(K13:K79,AF13:AF79)*K$10</f>
        <v>39.675000000000004</v>
      </c>
      <c r="AG10" s="21">
        <f>SUMPRODUCT(L13:L79,AG13:AG79)*L$10</f>
        <v>3.5</v>
      </c>
      <c r="AH10" s="21"/>
      <c r="AI10" s="21">
        <f>SUMPRODUCT(N13:N79,AI13:AI79)*N$10</f>
        <v>21.200000000000006</v>
      </c>
      <c r="AJ10" s="21"/>
      <c r="AK10" s="21">
        <f>SUM(AB10:AJ10)</f>
        <v>97.155000000000015</v>
      </c>
      <c r="AM10" s="21"/>
      <c r="AN10" s="21"/>
      <c r="AO10" s="21"/>
      <c r="AP10" s="21"/>
      <c r="AQ10" s="28"/>
      <c r="AR10" s="21"/>
      <c r="AS10" s="21"/>
      <c r="AT10" s="21"/>
      <c r="AU10" s="21">
        <f>SUMPRODUCT(O13:O79,AU13:AU79)*O$10</f>
        <v>86.320000000000007</v>
      </c>
      <c r="AV10" s="21">
        <f>SUM(AM10:AU10)</f>
        <v>86.320000000000007</v>
      </c>
      <c r="AX10" s="21"/>
      <c r="AY10" s="21"/>
      <c r="AZ10" s="21"/>
      <c r="BA10" s="21"/>
      <c r="BB10" s="28"/>
      <c r="BC10" s="21"/>
      <c r="BD10" s="21"/>
      <c r="BE10" s="21"/>
      <c r="BF10" s="21">
        <f>SUMPRODUCT(O13:O79,BF13:BF79)*O$10</f>
        <v>55.120000000000005</v>
      </c>
      <c r="BG10" s="21">
        <f>SUM(AX10:BF10)</f>
        <v>55.120000000000005</v>
      </c>
      <c r="BI10" s="21"/>
      <c r="BJ10" s="21"/>
      <c r="BK10" s="21"/>
      <c r="BL10" s="21"/>
      <c r="BM10" s="28"/>
      <c r="BN10" s="21"/>
      <c r="BO10" s="21"/>
      <c r="BP10" s="21"/>
      <c r="BQ10" s="21">
        <f>SUMPRODUCT(O13:O79,BQ13:BQ79)*O$10</f>
        <v>104.48000000000002</v>
      </c>
      <c r="BR10" s="21">
        <f>SUM(BI10:BQ10)</f>
        <v>104.48000000000002</v>
      </c>
      <c r="BT10" s="21">
        <f>SUMPRODUCT(E13:E79,BT13:BT79)*E$10</f>
        <v>11.580000000000002</v>
      </c>
      <c r="BU10" s="21">
        <f>SUMPRODUCT(F13:F79,BU13:BU79)*F$10</f>
        <v>5.6000000000000005</v>
      </c>
      <c r="BV10" s="21">
        <f>SUMPRODUCT(H13:H79,BV13:BV79)*H$10</f>
        <v>2.5</v>
      </c>
      <c r="BW10" s="21"/>
      <c r="BX10" s="28">
        <f>SUMPRODUCT(J13:J79,BX13:BX79)*J$10</f>
        <v>6.3249999999999993</v>
      </c>
      <c r="BY10" s="50">
        <f>SUMPRODUCT(L13:L79,BY13:BY79)*L$10</f>
        <v>3</v>
      </c>
      <c r="BZ10" s="21"/>
      <c r="CA10" s="21">
        <f>SUMPRODUCT(N13:N79,CA13:CA79)*N$10</f>
        <v>21.120000000000008</v>
      </c>
      <c r="CB10" s="21"/>
      <c r="CC10" s="50">
        <f>SUM(BT10:CB10)</f>
        <v>50.125000000000014</v>
      </c>
      <c r="CE10" s="21"/>
      <c r="CF10" s="21"/>
      <c r="CG10" s="21"/>
      <c r="CH10" s="21"/>
      <c r="CI10" s="21"/>
      <c r="CJ10" s="21"/>
      <c r="CK10" s="21">
        <f>SUMPRODUCT(M13:M79,CK13:CK79)*M$10</f>
        <v>22.800000000000004</v>
      </c>
      <c r="CL10" s="21"/>
      <c r="CM10" s="21"/>
      <c r="CN10" s="21">
        <f>SUM(CE10:CM10)</f>
        <v>22.800000000000004</v>
      </c>
    </row>
    <row r="11" spans="2:92" s="58" customFormat="1" ht="14.5" thickTop="1" x14ac:dyDescent="0.45">
      <c r="B11" s="58" t="s">
        <v>140</v>
      </c>
      <c r="E11" s="59"/>
      <c r="G11" s="59"/>
      <c r="H11" s="59"/>
      <c r="J11" s="60"/>
      <c r="K11" s="60"/>
      <c r="L11" s="59"/>
      <c r="M11" s="59"/>
      <c r="O11" s="60"/>
      <c r="Q11" s="58">
        <v>7.3</v>
      </c>
      <c r="S11" s="58">
        <v>9.1</v>
      </c>
      <c r="T11" s="58">
        <v>1.8</v>
      </c>
      <c r="U11" s="61"/>
      <c r="W11" s="58">
        <v>8.84</v>
      </c>
      <c r="X11" s="58">
        <v>13.75</v>
      </c>
      <c r="Z11" s="58">
        <f>SUM(Q11:Y11)</f>
        <v>40.79</v>
      </c>
      <c r="AB11" s="58">
        <v>16.399999999999999</v>
      </c>
      <c r="AD11" s="58">
        <v>9.6</v>
      </c>
      <c r="AE11" s="58">
        <v>8.3000000000000007</v>
      </c>
      <c r="AF11" s="61">
        <v>41.6</v>
      </c>
      <c r="AG11" s="58">
        <v>3.3</v>
      </c>
      <c r="AI11" s="58">
        <v>25</v>
      </c>
      <c r="AK11" s="58">
        <f>SUM(AB11:AJ11)</f>
        <v>104.2</v>
      </c>
      <c r="AQ11" s="61"/>
      <c r="AU11" s="58">
        <v>83.18</v>
      </c>
      <c r="BB11" s="61"/>
      <c r="BF11" s="58">
        <v>51.9</v>
      </c>
      <c r="BM11" s="61"/>
      <c r="BT11" s="58">
        <v>12.1</v>
      </c>
      <c r="BU11" s="58">
        <v>5.2</v>
      </c>
      <c r="BV11" s="58">
        <v>12</v>
      </c>
      <c r="BX11" s="61">
        <v>7.4</v>
      </c>
      <c r="BY11" s="62">
        <v>3.2</v>
      </c>
      <c r="CA11" s="58">
        <v>18.600000000000001</v>
      </c>
      <c r="CC11" s="62">
        <f>SUM(BT11:CB11)</f>
        <v>58.500000000000007</v>
      </c>
      <c r="CK11" s="58">
        <v>27</v>
      </c>
    </row>
    <row r="12" spans="2:92" s="66" customFormat="1" ht="14.5" thickBot="1" x14ac:dyDescent="0.5">
      <c r="B12" s="63" t="s">
        <v>139</v>
      </c>
      <c r="C12" s="63"/>
      <c r="D12" s="63"/>
      <c r="E12" s="64"/>
      <c r="F12" s="63"/>
      <c r="G12" s="64"/>
      <c r="H12" s="64"/>
      <c r="I12" s="63"/>
      <c r="J12" s="65"/>
      <c r="K12" s="65"/>
      <c r="L12" s="64"/>
      <c r="M12" s="64"/>
      <c r="N12" s="63"/>
      <c r="O12" s="65"/>
      <c r="P12" s="63"/>
      <c r="Q12" s="63">
        <f>Q10-Q11</f>
        <v>0.38000000000000167</v>
      </c>
      <c r="R12" s="63"/>
      <c r="S12" s="63">
        <f>S10-S11</f>
        <v>-4.0000000000000924E-2</v>
      </c>
      <c r="T12" s="63">
        <f>T10-T11</f>
        <v>3.4000000000000004</v>
      </c>
      <c r="U12" s="63"/>
      <c r="V12" s="63"/>
      <c r="W12" s="63">
        <f>W10-W11</f>
        <v>4.3600000000000012</v>
      </c>
      <c r="X12" s="63">
        <f>X10-X11</f>
        <v>1.1300000000000026</v>
      </c>
      <c r="Y12" s="63"/>
      <c r="Z12" s="63">
        <f>Z10-Z11</f>
        <v>9.230000000000004</v>
      </c>
      <c r="AA12" s="63"/>
      <c r="AB12" s="63">
        <f>AB10-AB11</f>
        <v>1.0599999999999987</v>
      </c>
      <c r="AC12" s="63"/>
      <c r="AD12" s="63">
        <f>AD10-AD11</f>
        <v>-0.47999999999999865</v>
      </c>
      <c r="AE12" s="63">
        <f>AE10-AE11</f>
        <v>-2.1000000000000005</v>
      </c>
      <c r="AF12" s="63">
        <f>AF10-AF11</f>
        <v>-1.9249999999999972</v>
      </c>
      <c r="AG12" s="63">
        <f>AG10-AG11</f>
        <v>0.20000000000000018</v>
      </c>
      <c r="AH12" s="63"/>
      <c r="AI12" s="63">
        <f>AI10-AI11</f>
        <v>-3.7999999999999936</v>
      </c>
      <c r="AJ12" s="63"/>
      <c r="AK12" s="63">
        <f>AK10-AK11</f>
        <v>-7.0449999999999875</v>
      </c>
      <c r="AL12" s="63"/>
      <c r="AM12" s="63"/>
      <c r="AN12" s="63"/>
      <c r="AO12" s="63"/>
      <c r="AP12" s="63"/>
      <c r="AQ12" s="63"/>
      <c r="AR12" s="63"/>
      <c r="AS12" s="63"/>
      <c r="AT12" s="63"/>
      <c r="AU12" s="63">
        <f>AU10-AU11</f>
        <v>3.1400000000000006</v>
      </c>
      <c r="AV12" s="63"/>
      <c r="AW12" s="63"/>
      <c r="AX12" s="63"/>
      <c r="AY12" s="63"/>
      <c r="AZ12" s="63"/>
      <c r="BA12" s="63"/>
      <c r="BB12" s="63"/>
      <c r="BC12" s="63"/>
      <c r="BD12" s="63"/>
      <c r="BE12" s="63"/>
      <c r="BF12" s="63">
        <f>BF10-BF11</f>
        <v>3.220000000000006</v>
      </c>
      <c r="BG12" s="63"/>
      <c r="BH12" s="63"/>
      <c r="BI12" s="63"/>
      <c r="BJ12" s="63"/>
      <c r="BK12" s="63"/>
      <c r="BL12" s="63"/>
      <c r="BM12" s="63"/>
      <c r="BN12" s="63"/>
      <c r="BO12" s="63"/>
      <c r="BP12" s="63"/>
      <c r="BQ12" s="63">
        <f>BQ10-BQ11</f>
        <v>104.48000000000002</v>
      </c>
      <c r="BR12" s="63"/>
      <c r="BS12" s="63"/>
      <c r="BT12" s="63">
        <f t="shared" ref="BT12:BV12" si="3">BT10-BT11</f>
        <v>-0.5199999999999978</v>
      </c>
      <c r="BU12" s="63">
        <f t="shared" si="3"/>
        <v>0.40000000000000036</v>
      </c>
      <c r="BV12" s="63">
        <f t="shared" si="3"/>
        <v>-9.5</v>
      </c>
      <c r="BW12" s="63"/>
      <c r="BX12" s="63">
        <f t="shared" ref="BX12" si="4">BX10-BX11</f>
        <v>-1.0750000000000011</v>
      </c>
      <c r="BY12" s="63">
        <f t="shared" ref="BY12:CA12" si="5">BY10-BY11</f>
        <v>-0.20000000000000018</v>
      </c>
      <c r="BZ12" s="63"/>
      <c r="CA12" s="63">
        <f t="shared" si="5"/>
        <v>2.5200000000000067</v>
      </c>
      <c r="CB12" s="63"/>
      <c r="CC12" s="63">
        <f t="shared" ref="CC12" si="6">CC10-CC11</f>
        <v>-8.3749999999999929</v>
      </c>
      <c r="CD12" s="63"/>
      <c r="CE12" s="63"/>
      <c r="CF12" s="63"/>
      <c r="CG12" s="63"/>
      <c r="CH12" s="63"/>
      <c r="CI12" s="63"/>
      <c r="CJ12" s="63"/>
      <c r="CK12" s="63">
        <f t="shared" ref="CK12" si="7">CK10-CK11</f>
        <v>-4.1999999999999957</v>
      </c>
      <c r="CL12" s="63"/>
      <c r="CM12" s="63"/>
      <c r="CN12" s="63"/>
    </row>
    <row r="13" spans="2:92" ht="14.5" thickTop="1" x14ac:dyDescent="0.45">
      <c r="B13" s="19" t="s">
        <v>100</v>
      </c>
      <c r="C13" s="1" t="s">
        <v>20</v>
      </c>
      <c r="D13" s="1" t="s">
        <v>91</v>
      </c>
      <c r="E13" s="32"/>
      <c r="G13" s="32">
        <v>0.2</v>
      </c>
      <c r="H13" s="32"/>
      <c r="J13" s="40">
        <v>1.5</v>
      </c>
      <c r="K13" s="40">
        <f>J13*1.15</f>
        <v>1.7249999999999999</v>
      </c>
      <c r="L13" s="32"/>
      <c r="M13" s="32">
        <v>1</v>
      </c>
      <c r="O13" s="40"/>
      <c r="Q13" s="22"/>
      <c r="R13" s="1">
        <f>IFERROR($Q13,"")</f>
        <v>0</v>
      </c>
      <c r="S13" s="1">
        <f t="shared" ref="S13:Y27" si="8">IFERROR($Q13,"")</f>
        <v>0</v>
      </c>
      <c r="T13" s="1">
        <f t="shared" si="8"/>
        <v>0</v>
      </c>
      <c r="U13" s="1">
        <f t="shared" si="8"/>
        <v>0</v>
      </c>
      <c r="V13" s="1">
        <f t="shared" si="8"/>
        <v>0</v>
      </c>
      <c r="W13" s="1">
        <f t="shared" si="8"/>
        <v>0</v>
      </c>
      <c r="X13" s="1">
        <f t="shared" si="8"/>
        <v>0</v>
      </c>
      <c r="Y13" s="1">
        <f t="shared" si="8"/>
        <v>0</v>
      </c>
      <c r="AB13" s="22">
        <v>1</v>
      </c>
      <c r="AC13" s="1">
        <f t="shared" ref="AC13:AJ27" si="9">IFERROR($AB13,"")</f>
        <v>1</v>
      </c>
      <c r="AD13" s="1">
        <f t="shared" si="9"/>
        <v>1</v>
      </c>
      <c r="AE13" s="1">
        <f t="shared" si="9"/>
        <v>1</v>
      </c>
      <c r="AF13" s="1">
        <f t="shared" si="9"/>
        <v>1</v>
      </c>
      <c r="AG13" s="1">
        <f t="shared" si="9"/>
        <v>1</v>
      </c>
      <c r="AH13" s="1">
        <f t="shared" si="9"/>
        <v>1</v>
      </c>
      <c r="AI13" s="1">
        <f t="shared" si="9"/>
        <v>1</v>
      </c>
      <c r="AJ13" s="1">
        <f t="shared" si="9"/>
        <v>1</v>
      </c>
      <c r="AM13" s="22"/>
      <c r="AX13" s="22"/>
      <c r="BI13" s="22"/>
      <c r="BT13" s="22"/>
      <c r="BU13" s="1">
        <f t="shared" ref="BU13:CB22" si="10">IFERROR($BT13,"")</f>
        <v>0</v>
      </c>
      <c r="BV13" s="1">
        <f t="shared" si="10"/>
        <v>0</v>
      </c>
      <c r="BW13" s="1">
        <f t="shared" si="10"/>
        <v>0</v>
      </c>
      <c r="BX13" s="1">
        <f t="shared" si="10"/>
        <v>0</v>
      </c>
      <c r="BY13" s="1">
        <f t="shared" si="10"/>
        <v>0</v>
      </c>
      <c r="BZ13" s="1">
        <f t="shared" si="10"/>
        <v>0</v>
      </c>
      <c r="CA13" s="1">
        <f t="shared" si="10"/>
        <v>0</v>
      </c>
      <c r="CB13" s="1">
        <f t="shared" si="10"/>
        <v>0</v>
      </c>
      <c r="CE13" s="22"/>
      <c r="CF13" s="1">
        <f>IFERROR($CE13,"")</f>
        <v>0</v>
      </c>
      <c r="CG13" s="1">
        <f t="shared" ref="CG13:CM13" si="11">IFERROR($CE13,"")</f>
        <v>0</v>
      </c>
      <c r="CH13" s="1">
        <f t="shared" si="11"/>
        <v>0</v>
      </c>
      <c r="CI13" s="1">
        <f t="shared" si="11"/>
        <v>0</v>
      </c>
      <c r="CJ13" s="1">
        <f t="shared" si="11"/>
        <v>0</v>
      </c>
      <c r="CK13" s="1">
        <f t="shared" si="11"/>
        <v>0</v>
      </c>
      <c r="CL13" s="1">
        <f t="shared" si="11"/>
        <v>0</v>
      </c>
      <c r="CM13" s="1">
        <f t="shared" si="11"/>
        <v>0</v>
      </c>
    </row>
    <row r="14" spans="2:92" x14ac:dyDescent="0.45">
      <c r="B14" s="19"/>
      <c r="D14" s="1" t="s">
        <v>92</v>
      </c>
      <c r="E14" s="32"/>
      <c r="G14" s="32">
        <v>0.2</v>
      </c>
      <c r="H14" s="32"/>
      <c r="J14" s="40">
        <v>1</v>
      </c>
      <c r="K14" s="40">
        <f>J14*1.15</f>
        <v>1.1499999999999999</v>
      </c>
      <c r="L14" s="32"/>
      <c r="M14" s="32">
        <v>0.5</v>
      </c>
      <c r="O14" s="40"/>
      <c r="Q14" s="22"/>
      <c r="R14" s="1">
        <f t="shared" ref="R14:Y28" si="12">IFERROR($Q14,"")</f>
        <v>0</v>
      </c>
      <c r="S14" s="1">
        <f t="shared" si="8"/>
        <v>0</v>
      </c>
      <c r="T14" s="1">
        <f t="shared" si="8"/>
        <v>0</v>
      </c>
      <c r="U14" s="1">
        <f t="shared" si="8"/>
        <v>0</v>
      </c>
      <c r="V14" s="1">
        <f t="shared" si="8"/>
        <v>0</v>
      </c>
      <c r="W14" s="1">
        <f t="shared" si="8"/>
        <v>0</v>
      </c>
      <c r="X14" s="1">
        <f t="shared" si="8"/>
        <v>0</v>
      </c>
      <c r="Y14" s="1">
        <f t="shared" si="8"/>
        <v>0</v>
      </c>
      <c r="AB14" s="22"/>
      <c r="AC14" s="1">
        <f t="shared" si="9"/>
        <v>0</v>
      </c>
      <c r="AD14" s="1">
        <f t="shared" si="9"/>
        <v>0</v>
      </c>
      <c r="AE14" s="1">
        <f t="shared" si="9"/>
        <v>0</v>
      </c>
      <c r="AF14" s="1">
        <f t="shared" si="9"/>
        <v>0</v>
      </c>
      <c r="AG14" s="1">
        <f t="shared" si="9"/>
        <v>0</v>
      </c>
      <c r="AH14" s="1">
        <f t="shared" si="9"/>
        <v>0</v>
      </c>
      <c r="AI14" s="1">
        <f t="shared" si="9"/>
        <v>0</v>
      </c>
      <c r="AJ14" s="1">
        <f t="shared" si="9"/>
        <v>0</v>
      </c>
      <c r="AM14" s="22"/>
      <c r="AX14" s="22"/>
      <c r="BI14" s="22"/>
      <c r="BT14" s="22"/>
      <c r="BU14" s="1">
        <f t="shared" si="10"/>
        <v>0</v>
      </c>
      <c r="BV14" s="1">
        <f t="shared" si="10"/>
        <v>0</v>
      </c>
      <c r="BW14" s="1">
        <f t="shared" si="10"/>
        <v>0</v>
      </c>
      <c r="BX14" s="1">
        <f t="shared" si="10"/>
        <v>0</v>
      </c>
      <c r="BY14" s="1">
        <f t="shared" si="10"/>
        <v>0</v>
      </c>
      <c r="BZ14" s="1">
        <f t="shared" si="10"/>
        <v>0</v>
      </c>
      <c r="CA14" s="1">
        <f t="shared" si="10"/>
        <v>0</v>
      </c>
      <c r="CB14" s="1">
        <f t="shared" si="10"/>
        <v>0</v>
      </c>
      <c r="CE14" s="22">
        <v>1</v>
      </c>
      <c r="CF14" s="1">
        <f t="shared" ref="CF14:CM28" si="13">IFERROR($CE14,"")</f>
        <v>1</v>
      </c>
      <c r="CG14" s="1">
        <f t="shared" si="13"/>
        <v>1</v>
      </c>
      <c r="CH14" s="1">
        <f t="shared" si="13"/>
        <v>1</v>
      </c>
      <c r="CI14" s="1">
        <f t="shared" si="13"/>
        <v>1</v>
      </c>
      <c r="CJ14" s="1">
        <f t="shared" si="13"/>
        <v>1</v>
      </c>
      <c r="CK14" s="1">
        <f t="shared" si="13"/>
        <v>1</v>
      </c>
      <c r="CL14" s="1">
        <f t="shared" si="13"/>
        <v>1</v>
      </c>
      <c r="CM14" s="1">
        <f t="shared" si="13"/>
        <v>1</v>
      </c>
    </row>
    <row r="15" spans="2:92" x14ac:dyDescent="0.45">
      <c r="B15" s="19"/>
      <c r="D15" s="1" t="s">
        <v>90</v>
      </c>
      <c r="E15" s="32"/>
      <c r="G15" s="32"/>
      <c r="H15" s="32"/>
      <c r="J15" s="40">
        <v>0.5</v>
      </c>
      <c r="K15" s="40">
        <f>J15*1.15</f>
        <v>0.57499999999999996</v>
      </c>
      <c r="L15" s="32"/>
      <c r="M15" s="32">
        <v>1</v>
      </c>
      <c r="O15" s="40"/>
      <c r="Q15" s="22"/>
      <c r="R15" s="1">
        <f t="shared" si="12"/>
        <v>0</v>
      </c>
      <c r="S15" s="1">
        <f t="shared" si="8"/>
        <v>0</v>
      </c>
      <c r="T15" s="1">
        <f t="shared" si="8"/>
        <v>0</v>
      </c>
      <c r="U15" s="1">
        <f t="shared" si="8"/>
        <v>0</v>
      </c>
      <c r="V15" s="1">
        <f t="shared" si="8"/>
        <v>0</v>
      </c>
      <c r="W15" s="1">
        <f t="shared" si="8"/>
        <v>0</v>
      </c>
      <c r="X15" s="1">
        <f t="shared" si="8"/>
        <v>0</v>
      </c>
      <c r="Y15" s="1">
        <f t="shared" si="8"/>
        <v>0</v>
      </c>
      <c r="AB15" s="22"/>
      <c r="AC15" s="1">
        <f t="shared" si="9"/>
        <v>0</v>
      </c>
      <c r="AD15" s="1">
        <f t="shared" si="9"/>
        <v>0</v>
      </c>
      <c r="AE15" s="1">
        <f t="shared" si="9"/>
        <v>0</v>
      </c>
      <c r="AF15" s="1">
        <f t="shared" si="9"/>
        <v>0</v>
      </c>
      <c r="AG15" s="1">
        <f t="shared" si="9"/>
        <v>0</v>
      </c>
      <c r="AH15" s="1">
        <f t="shared" si="9"/>
        <v>0</v>
      </c>
      <c r="AI15" s="1">
        <f t="shared" si="9"/>
        <v>0</v>
      </c>
      <c r="AJ15" s="1">
        <f t="shared" si="9"/>
        <v>0</v>
      </c>
      <c r="AM15" s="22"/>
      <c r="AX15" s="22"/>
      <c r="BI15" s="22"/>
      <c r="BT15" s="22"/>
      <c r="BU15" s="1">
        <f t="shared" si="10"/>
        <v>0</v>
      </c>
      <c r="BV15" s="1">
        <f t="shared" si="10"/>
        <v>0</v>
      </c>
      <c r="BW15" s="1">
        <f t="shared" si="10"/>
        <v>0</v>
      </c>
      <c r="BX15" s="1">
        <f t="shared" si="10"/>
        <v>0</v>
      </c>
      <c r="BY15" s="1">
        <f t="shared" si="10"/>
        <v>0</v>
      </c>
      <c r="BZ15" s="1">
        <f t="shared" si="10"/>
        <v>0</v>
      </c>
      <c r="CA15" s="1">
        <f t="shared" si="10"/>
        <v>0</v>
      </c>
      <c r="CB15" s="1">
        <f t="shared" si="10"/>
        <v>0</v>
      </c>
      <c r="CE15" s="22"/>
      <c r="CF15" s="1">
        <f t="shared" si="13"/>
        <v>0</v>
      </c>
      <c r="CG15" s="1">
        <f t="shared" si="13"/>
        <v>0</v>
      </c>
      <c r="CH15" s="1">
        <f t="shared" si="13"/>
        <v>0</v>
      </c>
      <c r="CI15" s="1">
        <f t="shared" si="13"/>
        <v>0</v>
      </c>
      <c r="CJ15" s="1">
        <f t="shared" si="13"/>
        <v>0</v>
      </c>
      <c r="CK15" s="1">
        <f t="shared" si="13"/>
        <v>0</v>
      </c>
      <c r="CL15" s="1">
        <f t="shared" si="13"/>
        <v>0</v>
      </c>
      <c r="CM15" s="1">
        <f t="shared" si="13"/>
        <v>0</v>
      </c>
    </row>
    <row r="16" spans="2:92" x14ac:dyDescent="0.45">
      <c r="B16" s="19"/>
      <c r="D16" s="1" t="s">
        <v>79</v>
      </c>
      <c r="E16" s="32"/>
      <c r="G16" s="32"/>
      <c r="H16" s="32"/>
      <c r="J16" s="40"/>
      <c r="K16" s="40">
        <f>J16*1.15</f>
        <v>0</v>
      </c>
      <c r="L16" s="32"/>
      <c r="M16" s="32"/>
      <c r="O16" s="40"/>
      <c r="Q16" s="22">
        <v>1</v>
      </c>
      <c r="R16" s="1">
        <f t="shared" si="12"/>
        <v>1</v>
      </c>
      <c r="S16" s="1">
        <f t="shared" si="8"/>
        <v>1</v>
      </c>
      <c r="T16" s="1">
        <f t="shared" si="8"/>
        <v>1</v>
      </c>
      <c r="U16" s="1">
        <f t="shared" si="8"/>
        <v>1</v>
      </c>
      <c r="V16" s="1">
        <f t="shared" si="8"/>
        <v>1</v>
      </c>
      <c r="W16" s="1">
        <f t="shared" si="8"/>
        <v>1</v>
      </c>
      <c r="X16" s="1">
        <f t="shared" si="8"/>
        <v>1</v>
      </c>
      <c r="Y16" s="1">
        <f t="shared" si="8"/>
        <v>1</v>
      </c>
      <c r="AB16" s="22"/>
      <c r="AC16" s="1">
        <f t="shared" si="9"/>
        <v>0</v>
      </c>
      <c r="AD16" s="1">
        <f t="shared" si="9"/>
        <v>0</v>
      </c>
      <c r="AE16" s="1">
        <f t="shared" si="9"/>
        <v>0</v>
      </c>
      <c r="AF16" s="1">
        <f t="shared" si="9"/>
        <v>0</v>
      </c>
      <c r="AG16" s="1">
        <f t="shared" si="9"/>
        <v>0</v>
      </c>
      <c r="AH16" s="1">
        <f t="shared" si="9"/>
        <v>0</v>
      </c>
      <c r="AI16" s="1">
        <f t="shared" si="9"/>
        <v>0</v>
      </c>
      <c r="AJ16" s="1">
        <f t="shared" si="9"/>
        <v>0</v>
      </c>
      <c r="AM16" s="22"/>
      <c r="AX16" s="22"/>
      <c r="BI16" s="22"/>
      <c r="BT16" s="22">
        <v>1</v>
      </c>
      <c r="BU16" s="1">
        <f t="shared" si="10"/>
        <v>1</v>
      </c>
      <c r="BV16" s="1">
        <f t="shared" si="10"/>
        <v>1</v>
      </c>
      <c r="BW16" s="1">
        <f t="shared" si="10"/>
        <v>1</v>
      </c>
      <c r="BX16" s="1">
        <f t="shared" si="10"/>
        <v>1</v>
      </c>
      <c r="BY16" s="1">
        <f t="shared" si="10"/>
        <v>1</v>
      </c>
      <c r="BZ16" s="1">
        <f t="shared" si="10"/>
        <v>1</v>
      </c>
      <c r="CA16" s="1">
        <f t="shared" si="10"/>
        <v>1</v>
      </c>
      <c r="CB16" s="1">
        <f t="shared" si="10"/>
        <v>1</v>
      </c>
      <c r="CE16" s="22"/>
      <c r="CF16" s="1">
        <f t="shared" si="13"/>
        <v>0</v>
      </c>
      <c r="CG16" s="1">
        <f t="shared" si="13"/>
        <v>0</v>
      </c>
      <c r="CH16" s="1">
        <f t="shared" si="13"/>
        <v>0</v>
      </c>
      <c r="CI16" s="1">
        <f t="shared" si="13"/>
        <v>0</v>
      </c>
      <c r="CJ16" s="1">
        <f t="shared" si="13"/>
        <v>0</v>
      </c>
      <c r="CK16" s="1">
        <f t="shared" si="13"/>
        <v>0</v>
      </c>
      <c r="CL16" s="1">
        <f t="shared" si="13"/>
        <v>0</v>
      </c>
      <c r="CM16" s="1">
        <f t="shared" si="13"/>
        <v>0</v>
      </c>
    </row>
    <row r="17" spans="2:91" x14ac:dyDescent="0.45">
      <c r="B17" s="19"/>
      <c r="C17" s="11" t="s">
        <v>99</v>
      </c>
      <c r="D17" s="11" t="s">
        <v>93</v>
      </c>
      <c r="E17" s="31"/>
      <c r="F17" s="11"/>
      <c r="G17" s="31"/>
      <c r="H17" s="31"/>
      <c r="I17" s="11"/>
      <c r="J17" s="39"/>
      <c r="K17" s="39"/>
      <c r="L17" s="31"/>
      <c r="M17" s="31"/>
      <c r="N17" s="11"/>
      <c r="O17" s="39"/>
      <c r="Q17" s="23"/>
      <c r="R17" s="11">
        <f t="shared" si="12"/>
        <v>0</v>
      </c>
      <c r="S17" s="11">
        <f t="shared" si="8"/>
        <v>0</v>
      </c>
      <c r="T17" s="11">
        <f t="shared" si="8"/>
        <v>0</v>
      </c>
      <c r="U17" s="11">
        <f t="shared" si="8"/>
        <v>0</v>
      </c>
      <c r="V17" s="11">
        <f t="shared" si="8"/>
        <v>0</v>
      </c>
      <c r="W17" s="11">
        <f t="shared" si="8"/>
        <v>0</v>
      </c>
      <c r="X17" s="11">
        <f t="shared" si="8"/>
        <v>0</v>
      </c>
      <c r="Y17" s="11">
        <f t="shared" si="8"/>
        <v>0</v>
      </c>
      <c r="AB17" s="23"/>
      <c r="AC17" s="11">
        <f t="shared" si="9"/>
        <v>0</v>
      </c>
      <c r="AD17" s="11">
        <f t="shared" si="9"/>
        <v>0</v>
      </c>
      <c r="AE17" s="11">
        <f t="shared" si="9"/>
        <v>0</v>
      </c>
      <c r="AF17" s="11">
        <f t="shared" si="9"/>
        <v>0</v>
      </c>
      <c r="AG17" s="11">
        <f t="shared" si="9"/>
        <v>0</v>
      </c>
      <c r="AH17" s="11">
        <f t="shared" si="9"/>
        <v>0</v>
      </c>
      <c r="AI17" s="11">
        <f t="shared" si="9"/>
        <v>0</v>
      </c>
      <c r="AJ17" s="11">
        <f t="shared" si="9"/>
        <v>0</v>
      </c>
      <c r="AM17" s="23"/>
      <c r="AN17" s="11"/>
      <c r="AO17" s="11"/>
      <c r="AP17" s="11"/>
      <c r="AQ17" s="11"/>
      <c r="AR17" s="11"/>
      <c r="AS17" s="11"/>
      <c r="AT17" s="11"/>
      <c r="AU17" s="11"/>
      <c r="AX17" s="23"/>
      <c r="AY17" s="11"/>
      <c r="AZ17" s="11"/>
      <c r="BA17" s="11"/>
      <c r="BB17" s="11"/>
      <c r="BC17" s="11"/>
      <c r="BD17" s="11"/>
      <c r="BE17" s="11"/>
      <c r="BF17" s="11"/>
      <c r="BI17" s="23"/>
      <c r="BJ17" s="11"/>
      <c r="BK17" s="11"/>
      <c r="BL17" s="11"/>
      <c r="BM17" s="11"/>
      <c r="BN17" s="11"/>
      <c r="BO17" s="11"/>
      <c r="BP17" s="11"/>
      <c r="BQ17" s="11"/>
      <c r="BT17" s="23"/>
      <c r="BU17" s="11">
        <f t="shared" si="10"/>
        <v>0</v>
      </c>
      <c r="BV17" s="11">
        <f t="shared" si="10"/>
        <v>0</v>
      </c>
      <c r="BW17" s="11">
        <f t="shared" si="10"/>
        <v>0</v>
      </c>
      <c r="BX17" s="11">
        <f t="shared" si="10"/>
        <v>0</v>
      </c>
      <c r="BY17" s="11">
        <f t="shared" si="10"/>
        <v>0</v>
      </c>
      <c r="BZ17" s="11">
        <f t="shared" si="10"/>
        <v>0</v>
      </c>
      <c r="CA17" s="11">
        <f t="shared" si="10"/>
        <v>0</v>
      </c>
      <c r="CB17" s="11">
        <f t="shared" si="10"/>
        <v>0</v>
      </c>
      <c r="CE17" s="23">
        <v>1</v>
      </c>
      <c r="CF17" s="11">
        <f t="shared" si="13"/>
        <v>1</v>
      </c>
      <c r="CG17" s="11">
        <f t="shared" si="13"/>
        <v>1</v>
      </c>
      <c r="CH17" s="11">
        <f t="shared" si="13"/>
        <v>1</v>
      </c>
      <c r="CI17" s="11">
        <f t="shared" si="13"/>
        <v>1</v>
      </c>
      <c r="CJ17" s="11">
        <f t="shared" si="13"/>
        <v>1</v>
      </c>
      <c r="CK17" s="11">
        <f t="shared" si="13"/>
        <v>1</v>
      </c>
      <c r="CL17" s="11">
        <f t="shared" si="13"/>
        <v>1</v>
      </c>
      <c r="CM17" s="11">
        <f t="shared" si="13"/>
        <v>1</v>
      </c>
    </row>
    <row r="18" spans="2:91" x14ac:dyDescent="0.45">
      <c r="B18" s="19"/>
      <c r="D18" s="1" t="s">
        <v>95</v>
      </c>
      <c r="E18" s="32"/>
      <c r="G18" s="32"/>
      <c r="H18" s="32"/>
      <c r="J18" s="40"/>
      <c r="K18" s="40"/>
      <c r="L18" s="32"/>
      <c r="M18" s="32"/>
      <c r="O18" s="40"/>
      <c r="Q18" s="22">
        <v>1</v>
      </c>
      <c r="R18" s="1">
        <f t="shared" si="12"/>
        <v>1</v>
      </c>
      <c r="S18" s="1">
        <f t="shared" si="8"/>
        <v>1</v>
      </c>
      <c r="T18" s="1">
        <f t="shared" si="8"/>
        <v>1</v>
      </c>
      <c r="U18" s="1">
        <f t="shared" si="8"/>
        <v>1</v>
      </c>
      <c r="V18" s="1">
        <f t="shared" si="8"/>
        <v>1</v>
      </c>
      <c r="W18" s="1">
        <f t="shared" si="8"/>
        <v>1</v>
      </c>
      <c r="X18" s="1">
        <f t="shared" si="8"/>
        <v>1</v>
      </c>
      <c r="Y18" s="1">
        <f t="shared" si="8"/>
        <v>1</v>
      </c>
      <c r="AB18" s="22"/>
      <c r="AC18" s="1">
        <f t="shared" si="9"/>
        <v>0</v>
      </c>
      <c r="AD18" s="1">
        <f t="shared" si="9"/>
        <v>0</v>
      </c>
      <c r="AE18" s="1">
        <f t="shared" si="9"/>
        <v>0</v>
      </c>
      <c r="AF18" s="1">
        <f t="shared" si="9"/>
        <v>0</v>
      </c>
      <c r="AG18" s="1">
        <f t="shared" si="9"/>
        <v>0</v>
      </c>
      <c r="AH18" s="1">
        <f t="shared" si="9"/>
        <v>0</v>
      </c>
      <c r="AI18" s="1">
        <f t="shared" si="9"/>
        <v>0</v>
      </c>
      <c r="AJ18" s="1">
        <f t="shared" si="9"/>
        <v>0</v>
      </c>
      <c r="AM18" s="22"/>
      <c r="AX18" s="22"/>
      <c r="BI18" s="22"/>
      <c r="BT18" s="22"/>
      <c r="BU18" s="1">
        <f t="shared" si="10"/>
        <v>0</v>
      </c>
      <c r="BV18" s="1">
        <f t="shared" si="10"/>
        <v>0</v>
      </c>
      <c r="BW18" s="1">
        <f t="shared" si="10"/>
        <v>0</v>
      </c>
      <c r="BX18" s="1">
        <f t="shared" si="10"/>
        <v>0</v>
      </c>
      <c r="BY18" s="1">
        <f t="shared" si="10"/>
        <v>0</v>
      </c>
      <c r="BZ18" s="1">
        <f t="shared" si="10"/>
        <v>0</v>
      </c>
      <c r="CA18" s="1">
        <f t="shared" si="10"/>
        <v>0</v>
      </c>
      <c r="CB18" s="1">
        <f t="shared" si="10"/>
        <v>0</v>
      </c>
      <c r="CE18" s="22"/>
      <c r="CF18" s="1">
        <f t="shared" si="13"/>
        <v>0</v>
      </c>
      <c r="CG18" s="1">
        <f t="shared" si="13"/>
        <v>0</v>
      </c>
      <c r="CH18" s="1">
        <f t="shared" si="13"/>
        <v>0</v>
      </c>
      <c r="CI18" s="1">
        <f t="shared" si="13"/>
        <v>0</v>
      </c>
      <c r="CJ18" s="1">
        <f t="shared" si="13"/>
        <v>0</v>
      </c>
      <c r="CK18" s="1">
        <f t="shared" si="13"/>
        <v>0</v>
      </c>
      <c r="CL18" s="1">
        <f t="shared" si="13"/>
        <v>0</v>
      </c>
      <c r="CM18" s="1">
        <f t="shared" si="13"/>
        <v>0</v>
      </c>
    </row>
    <row r="19" spans="2:91" x14ac:dyDescent="0.45">
      <c r="B19" s="19"/>
      <c r="D19" s="1" t="s">
        <v>96</v>
      </c>
      <c r="E19" s="32"/>
      <c r="G19" s="32"/>
      <c r="H19" s="32"/>
      <c r="J19" s="40"/>
      <c r="K19" s="40"/>
      <c r="L19" s="32"/>
      <c r="M19" s="32"/>
      <c r="O19" s="40"/>
      <c r="Q19" s="22"/>
      <c r="R19" s="1">
        <f t="shared" si="12"/>
        <v>0</v>
      </c>
      <c r="S19" s="1">
        <f t="shared" si="8"/>
        <v>0</v>
      </c>
      <c r="T19" s="1">
        <f t="shared" si="8"/>
        <v>0</v>
      </c>
      <c r="U19" s="1">
        <f t="shared" si="8"/>
        <v>0</v>
      </c>
      <c r="V19" s="1">
        <f t="shared" si="8"/>
        <v>0</v>
      </c>
      <c r="W19" s="1">
        <f t="shared" si="8"/>
        <v>0</v>
      </c>
      <c r="X19" s="1">
        <f t="shared" si="8"/>
        <v>0</v>
      </c>
      <c r="Y19" s="1">
        <f t="shared" si="8"/>
        <v>0</v>
      </c>
      <c r="AB19" s="22">
        <v>1</v>
      </c>
      <c r="AC19" s="1">
        <f t="shared" si="9"/>
        <v>1</v>
      </c>
      <c r="AD19" s="1">
        <f t="shared" si="9"/>
        <v>1</v>
      </c>
      <c r="AE19" s="1">
        <f t="shared" si="9"/>
        <v>1</v>
      </c>
      <c r="AF19" s="1">
        <f t="shared" si="9"/>
        <v>1</v>
      </c>
      <c r="AG19" s="1">
        <f t="shared" si="9"/>
        <v>1</v>
      </c>
      <c r="AH19" s="1">
        <f t="shared" si="9"/>
        <v>1</v>
      </c>
      <c r="AI19" s="1">
        <f t="shared" si="9"/>
        <v>1</v>
      </c>
      <c r="AJ19" s="1">
        <f t="shared" si="9"/>
        <v>1</v>
      </c>
      <c r="AM19" s="22"/>
      <c r="AX19" s="22"/>
      <c r="BI19" s="22"/>
      <c r="BT19" s="22"/>
      <c r="BU19" s="1">
        <f t="shared" si="10"/>
        <v>0</v>
      </c>
      <c r="BV19" s="1">
        <f t="shared" si="10"/>
        <v>0</v>
      </c>
      <c r="BW19" s="1">
        <f t="shared" si="10"/>
        <v>0</v>
      </c>
      <c r="BX19" s="1">
        <f t="shared" si="10"/>
        <v>0</v>
      </c>
      <c r="BY19" s="1">
        <f t="shared" si="10"/>
        <v>0</v>
      </c>
      <c r="BZ19" s="1">
        <f t="shared" si="10"/>
        <v>0</v>
      </c>
      <c r="CA19" s="1">
        <f t="shared" si="10"/>
        <v>0</v>
      </c>
      <c r="CB19" s="1">
        <f t="shared" si="10"/>
        <v>0</v>
      </c>
      <c r="CE19" s="22"/>
      <c r="CF19" s="1">
        <f t="shared" si="13"/>
        <v>0</v>
      </c>
      <c r="CG19" s="1">
        <f t="shared" si="13"/>
        <v>0</v>
      </c>
      <c r="CH19" s="1">
        <f t="shared" si="13"/>
        <v>0</v>
      </c>
      <c r="CI19" s="1">
        <f t="shared" si="13"/>
        <v>0</v>
      </c>
      <c r="CJ19" s="1">
        <f t="shared" si="13"/>
        <v>0</v>
      </c>
      <c r="CK19" s="1">
        <f t="shared" si="13"/>
        <v>0</v>
      </c>
      <c r="CL19" s="1">
        <f t="shared" si="13"/>
        <v>0</v>
      </c>
      <c r="CM19" s="1">
        <f t="shared" si="13"/>
        <v>0</v>
      </c>
    </row>
    <row r="20" spans="2:91" x14ac:dyDescent="0.45">
      <c r="B20" s="19"/>
      <c r="C20" s="12"/>
      <c r="D20" s="12" t="s">
        <v>94</v>
      </c>
      <c r="E20" s="33"/>
      <c r="F20" s="12"/>
      <c r="G20" s="33"/>
      <c r="H20" s="33"/>
      <c r="I20" s="12"/>
      <c r="J20" s="29"/>
      <c r="K20" s="29"/>
      <c r="L20" s="33"/>
      <c r="M20" s="33"/>
      <c r="N20" s="12"/>
      <c r="O20" s="29"/>
      <c r="Q20" s="24"/>
      <c r="R20" s="12">
        <f t="shared" si="12"/>
        <v>0</v>
      </c>
      <c r="S20" s="12">
        <f t="shared" si="8"/>
        <v>0</v>
      </c>
      <c r="T20" s="12">
        <f t="shared" si="8"/>
        <v>0</v>
      </c>
      <c r="U20" s="12">
        <f t="shared" si="8"/>
        <v>0</v>
      </c>
      <c r="V20" s="12">
        <f t="shared" si="8"/>
        <v>0</v>
      </c>
      <c r="W20" s="12">
        <f t="shared" si="8"/>
        <v>0</v>
      </c>
      <c r="X20" s="12">
        <f t="shared" si="8"/>
        <v>0</v>
      </c>
      <c r="Y20" s="12">
        <f t="shared" si="8"/>
        <v>0</v>
      </c>
      <c r="AB20" s="24"/>
      <c r="AC20" s="12">
        <f t="shared" si="9"/>
        <v>0</v>
      </c>
      <c r="AD20" s="12">
        <f t="shared" si="9"/>
        <v>0</v>
      </c>
      <c r="AE20" s="12">
        <f t="shared" si="9"/>
        <v>0</v>
      </c>
      <c r="AF20" s="12">
        <f t="shared" si="9"/>
        <v>0</v>
      </c>
      <c r="AG20" s="12">
        <f t="shared" si="9"/>
        <v>0</v>
      </c>
      <c r="AH20" s="12">
        <f t="shared" si="9"/>
        <v>0</v>
      </c>
      <c r="AI20" s="12">
        <f t="shared" si="9"/>
        <v>0</v>
      </c>
      <c r="AJ20" s="12">
        <f t="shared" si="9"/>
        <v>0</v>
      </c>
      <c r="AM20" s="24"/>
      <c r="AN20" s="12"/>
      <c r="AO20" s="12"/>
      <c r="AP20" s="12"/>
      <c r="AQ20" s="12"/>
      <c r="AR20" s="12"/>
      <c r="AS20" s="12"/>
      <c r="AT20" s="12"/>
      <c r="AU20" s="12"/>
      <c r="AX20" s="24"/>
      <c r="AY20" s="12"/>
      <c r="AZ20" s="12"/>
      <c r="BA20" s="12"/>
      <c r="BB20" s="12"/>
      <c r="BC20" s="12"/>
      <c r="BD20" s="12"/>
      <c r="BE20" s="12"/>
      <c r="BF20" s="12"/>
      <c r="BI20" s="24"/>
      <c r="BJ20" s="12"/>
      <c r="BK20" s="12"/>
      <c r="BL20" s="12"/>
      <c r="BM20" s="12"/>
      <c r="BN20" s="12"/>
      <c r="BO20" s="12"/>
      <c r="BP20" s="12"/>
      <c r="BQ20" s="12"/>
      <c r="BT20" s="24">
        <v>1</v>
      </c>
      <c r="BU20" s="12">
        <f t="shared" si="10"/>
        <v>1</v>
      </c>
      <c r="BV20" s="12">
        <f t="shared" si="10"/>
        <v>1</v>
      </c>
      <c r="BW20" s="12">
        <f t="shared" si="10"/>
        <v>1</v>
      </c>
      <c r="BX20" s="12">
        <f t="shared" si="10"/>
        <v>1</v>
      </c>
      <c r="BY20" s="12">
        <f t="shared" si="10"/>
        <v>1</v>
      </c>
      <c r="BZ20" s="12">
        <f t="shared" si="10"/>
        <v>1</v>
      </c>
      <c r="CA20" s="12">
        <f t="shared" si="10"/>
        <v>1</v>
      </c>
      <c r="CB20" s="12">
        <f t="shared" si="10"/>
        <v>1</v>
      </c>
      <c r="CE20" s="24"/>
      <c r="CF20" s="12">
        <f t="shared" si="13"/>
        <v>0</v>
      </c>
      <c r="CG20" s="12">
        <f t="shared" si="13"/>
        <v>0</v>
      </c>
      <c r="CH20" s="12">
        <f t="shared" si="13"/>
        <v>0</v>
      </c>
      <c r="CI20" s="12">
        <f t="shared" si="13"/>
        <v>0</v>
      </c>
      <c r="CJ20" s="12">
        <f t="shared" si="13"/>
        <v>0</v>
      </c>
      <c r="CK20" s="12">
        <f t="shared" si="13"/>
        <v>0</v>
      </c>
      <c r="CL20" s="12">
        <f t="shared" si="13"/>
        <v>0</v>
      </c>
      <c r="CM20" s="12">
        <f t="shared" si="13"/>
        <v>0</v>
      </c>
    </row>
    <row r="21" spans="2:91" x14ac:dyDescent="0.45">
      <c r="B21" s="19"/>
      <c r="C21" s="1" t="s">
        <v>102</v>
      </c>
      <c r="D21" s="1" t="s">
        <v>107</v>
      </c>
      <c r="E21" s="32"/>
      <c r="G21" s="32"/>
      <c r="H21" s="32">
        <v>0.25</v>
      </c>
      <c r="J21" s="40"/>
      <c r="K21" s="40">
        <f t="shared" ref="K21:K26" si="14">J21*1.15</f>
        <v>0</v>
      </c>
      <c r="L21" s="32"/>
      <c r="M21" s="32"/>
      <c r="N21" s="1">
        <v>0.25</v>
      </c>
      <c r="O21" s="40"/>
      <c r="Q21" s="22"/>
      <c r="R21" s="1">
        <f t="shared" si="12"/>
        <v>0</v>
      </c>
      <c r="S21" s="1">
        <f t="shared" si="12"/>
        <v>0</v>
      </c>
      <c r="T21" s="1">
        <f t="shared" si="12"/>
        <v>0</v>
      </c>
      <c r="U21" s="1">
        <f t="shared" si="12"/>
        <v>0</v>
      </c>
      <c r="V21" s="1">
        <f t="shared" si="12"/>
        <v>0</v>
      </c>
      <c r="W21" s="1">
        <f t="shared" si="12"/>
        <v>0</v>
      </c>
      <c r="X21" s="1">
        <f t="shared" si="12"/>
        <v>0</v>
      </c>
      <c r="Y21" s="1">
        <f t="shared" si="12"/>
        <v>0</v>
      </c>
      <c r="AB21" s="22"/>
      <c r="AC21" s="1">
        <f t="shared" si="9"/>
        <v>0</v>
      </c>
      <c r="AD21" s="1">
        <f t="shared" si="9"/>
        <v>0</v>
      </c>
      <c r="AE21" s="1">
        <f t="shared" si="9"/>
        <v>0</v>
      </c>
      <c r="AF21" s="1">
        <f t="shared" si="9"/>
        <v>0</v>
      </c>
      <c r="AG21" s="1">
        <f t="shared" si="9"/>
        <v>0</v>
      </c>
      <c r="AH21" s="1">
        <f t="shared" si="9"/>
        <v>0</v>
      </c>
      <c r="AI21" s="1">
        <f t="shared" si="9"/>
        <v>0</v>
      </c>
      <c r="AJ21" s="1">
        <f t="shared" si="9"/>
        <v>0</v>
      </c>
      <c r="AM21" s="22"/>
      <c r="AX21" s="22"/>
      <c r="BI21" s="22"/>
      <c r="BT21" s="22"/>
      <c r="BU21" s="1">
        <f t="shared" si="10"/>
        <v>0</v>
      </c>
      <c r="BV21" s="1">
        <f t="shared" si="10"/>
        <v>0</v>
      </c>
      <c r="BW21" s="1">
        <f t="shared" si="10"/>
        <v>0</v>
      </c>
      <c r="BX21" s="1">
        <f t="shared" si="10"/>
        <v>0</v>
      </c>
      <c r="BY21" s="1">
        <f t="shared" si="10"/>
        <v>0</v>
      </c>
      <c r="BZ21" s="1">
        <f t="shared" si="10"/>
        <v>0</v>
      </c>
      <c r="CA21" s="1">
        <f t="shared" si="10"/>
        <v>0</v>
      </c>
      <c r="CB21" s="1">
        <f t="shared" si="10"/>
        <v>0</v>
      </c>
      <c r="CE21" s="22">
        <v>1</v>
      </c>
      <c r="CF21" s="1">
        <f t="shared" si="13"/>
        <v>1</v>
      </c>
      <c r="CG21" s="1">
        <f t="shared" si="13"/>
        <v>1</v>
      </c>
      <c r="CH21" s="1">
        <f t="shared" si="13"/>
        <v>1</v>
      </c>
      <c r="CI21" s="1">
        <f t="shared" si="13"/>
        <v>1</v>
      </c>
      <c r="CJ21" s="1">
        <f t="shared" si="13"/>
        <v>1</v>
      </c>
      <c r="CK21" s="1">
        <f t="shared" si="13"/>
        <v>1</v>
      </c>
      <c r="CL21" s="1">
        <f t="shared" si="13"/>
        <v>1</v>
      </c>
      <c r="CM21" s="1">
        <f t="shared" si="13"/>
        <v>1</v>
      </c>
    </row>
    <row r="22" spans="2:91" x14ac:dyDescent="0.45">
      <c r="B22" s="19"/>
      <c r="D22" s="1" t="s">
        <v>103</v>
      </c>
      <c r="E22" s="32">
        <v>0.8</v>
      </c>
      <c r="F22" s="1">
        <v>0.5</v>
      </c>
      <c r="G22" s="32"/>
      <c r="H22" s="32">
        <v>0.25</v>
      </c>
      <c r="J22" s="40"/>
      <c r="K22" s="40">
        <f t="shared" si="14"/>
        <v>0</v>
      </c>
      <c r="L22" s="32"/>
      <c r="M22" s="32"/>
      <c r="N22" s="1">
        <v>0.25</v>
      </c>
      <c r="O22" s="40"/>
      <c r="Q22" s="22"/>
      <c r="R22" s="1">
        <f t="shared" si="12"/>
        <v>0</v>
      </c>
      <c r="S22" s="1">
        <f t="shared" si="12"/>
        <v>0</v>
      </c>
      <c r="T22" s="1">
        <f t="shared" si="12"/>
        <v>0</v>
      </c>
      <c r="U22" s="1">
        <f t="shared" si="12"/>
        <v>0</v>
      </c>
      <c r="V22" s="1">
        <f t="shared" si="12"/>
        <v>0</v>
      </c>
      <c r="W22" s="1">
        <f t="shared" si="12"/>
        <v>0</v>
      </c>
      <c r="X22" s="1">
        <f t="shared" si="12"/>
        <v>0</v>
      </c>
      <c r="Y22" s="1">
        <f t="shared" si="12"/>
        <v>0</v>
      </c>
      <c r="AB22" s="22"/>
      <c r="AC22" s="1">
        <f t="shared" si="9"/>
        <v>0</v>
      </c>
      <c r="AD22" s="1">
        <f t="shared" si="9"/>
        <v>0</v>
      </c>
      <c r="AE22" s="1">
        <f t="shared" si="9"/>
        <v>0</v>
      </c>
      <c r="AF22" s="1">
        <f t="shared" si="9"/>
        <v>0</v>
      </c>
      <c r="AG22" s="1">
        <f t="shared" si="9"/>
        <v>0</v>
      </c>
      <c r="AH22" s="1">
        <f t="shared" si="9"/>
        <v>0</v>
      </c>
      <c r="AI22" s="1">
        <f t="shared" si="9"/>
        <v>0</v>
      </c>
      <c r="AJ22" s="1">
        <f t="shared" si="9"/>
        <v>0</v>
      </c>
      <c r="AM22" s="22"/>
      <c r="AX22" s="22"/>
      <c r="BI22" s="22"/>
      <c r="BT22" s="22"/>
      <c r="BU22" s="1">
        <f t="shared" si="10"/>
        <v>0</v>
      </c>
      <c r="BV22" s="1">
        <f t="shared" si="10"/>
        <v>0</v>
      </c>
      <c r="BW22" s="1">
        <f t="shared" si="10"/>
        <v>0</v>
      </c>
      <c r="BX22" s="1">
        <f t="shared" si="10"/>
        <v>0</v>
      </c>
      <c r="BY22" s="1">
        <f t="shared" si="10"/>
        <v>0</v>
      </c>
      <c r="BZ22" s="1">
        <f t="shared" si="10"/>
        <v>0</v>
      </c>
      <c r="CA22" s="1">
        <f t="shared" si="10"/>
        <v>0</v>
      </c>
      <c r="CB22" s="1">
        <f t="shared" si="10"/>
        <v>0</v>
      </c>
      <c r="CE22" s="22"/>
      <c r="CF22" s="1">
        <f t="shared" si="13"/>
        <v>0</v>
      </c>
      <c r="CG22" s="1">
        <f t="shared" si="13"/>
        <v>0</v>
      </c>
      <c r="CH22" s="1">
        <f t="shared" si="13"/>
        <v>0</v>
      </c>
      <c r="CI22" s="1">
        <f t="shared" si="13"/>
        <v>0</v>
      </c>
      <c r="CJ22" s="1">
        <f t="shared" si="13"/>
        <v>0</v>
      </c>
      <c r="CK22" s="1">
        <f t="shared" si="13"/>
        <v>0</v>
      </c>
      <c r="CL22" s="1">
        <f t="shared" si="13"/>
        <v>0</v>
      </c>
      <c r="CM22" s="1">
        <f t="shared" si="13"/>
        <v>0</v>
      </c>
    </row>
    <row r="23" spans="2:91" x14ac:dyDescent="0.45">
      <c r="B23" s="19"/>
      <c r="D23" s="1" t="s">
        <v>104</v>
      </c>
      <c r="E23" s="32">
        <v>1</v>
      </c>
      <c r="F23" s="1">
        <v>0.8</v>
      </c>
      <c r="G23" s="32"/>
      <c r="H23" s="32">
        <v>0.25</v>
      </c>
      <c r="J23" s="40"/>
      <c r="K23" s="40">
        <f t="shared" si="14"/>
        <v>0</v>
      </c>
      <c r="L23" s="32"/>
      <c r="M23" s="32"/>
      <c r="N23" s="1">
        <v>0.25</v>
      </c>
      <c r="O23" s="40"/>
      <c r="Q23" s="22"/>
      <c r="R23" s="1">
        <f t="shared" si="12"/>
        <v>0</v>
      </c>
      <c r="S23" s="1">
        <f t="shared" si="12"/>
        <v>0</v>
      </c>
      <c r="T23" s="1">
        <f t="shared" si="12"/>
        <v>0</v>
      </c>
      <c r="U23" s="1">
        <f t="shared" si="12"/>
        <v>0</v>
      </c>
      <c r="V23" s="1">
        <f t="shared" si="12"/>
        <v>0</v>
      </c>
      <c r="W23" s="1">
        <f t="shared" si="12"/>
        <v>0</v>
      </c>
      <c r="X23" s="1">
        <f t="shared" si="12"/>
        <v>0</v>
      </c>
      <c r="Y23" s="1">
        <f t="shared" si="12"/>
        <v>0</v>
      </c>
      <c r="AB23" s="22"/>
      <c r="AC23" s="1">
        <f t="shared" si="9"/>
        <v>0</v>
      </c>
      <c r="AD23" s="1">
        <f t="shared" si="9"/>
        <v>0</v>
      </c>
      <c r="AE23" s="1">
        <f t="shared" si="9"/>
        <v>0</v>
      </c>
      <c r="AF23" s="1">
        <f t="shared" si="9"/>
        <v>0</v>
      </c>
      <c r="AG23" s="1">
        <f t="shared" si="9"/>
        <v>0</v>
      </c>
      <c r="AH23" s="1">
        <f t="shared" si="9"/>
        <v>0</v>
      </c>
      <c r="AI23" s="1">
        <f t="shared" si="9"/>
        <v>0</v>
      </c>
      <c r="AJ23" s="1">
        <f t="shared" si="9"/>
        <v>0</v>
      </c>
      <c r="AM23" s="22"/>
      <c r="AX23" s="22"/>
      <c r="BI23" s="22"/>
      <c r="BT23" s="22"/>
      <c r="BU23" s="1">
        <f t="shared" ref="BU23:CB28" si="15">IFERROR($BT23,"")</f>
        <v>0</v>
      </c>
      <c r="BV23" s="1">
        <f t="shared" si="15"/>
        <v>0</v>
      </c>
      <c r="BW23" s="1">
        <f t="shared" si="15"/>
        <v>0</v>
      </c>
      <c r="BX23" s="1">
        <f t="shared" si="15"/>
        <v>0</v>
      </c>
      <c r="BY23" s="1">
        <f t="shared" si="15"/>
        <v>0</v>
      </c>
      <c r="BZ23" s="1">
        <f t="shared" si="15"/>
        <v>0</v>
      </c>
      <c r="CA23" s="1">
        <f t="shared" si="15"/>
        <v>0</v>
      </c>
      <c r="CB23" s="1">
        <f t="shared" si="15"/>
        <v>0</v>
      </c>
      <c r="CE23" s="22"/>
      <c r="CF23" s="1">
        <f t="shared" si="13"/>
        <v>0</v>
      </c>
      <c r="CG23" s="1">
        <f t="shared" si="13"/>
        <v>0</v>
      </c>
      <c r="CH23" s="1">
        <f t="shared" si="13"/>
        <v>0</v>
      </c>
      <c r="CI23" s="1">
        <f t="shared" si="13"/>
        <v>0</v>
      </c>
      <c r="CJ23" s="1">
        <f t="shared" si="13"/>
        <v>0</v>
      </c>
      <c r="CK23" s="1">
        <f t="shared" si="13"/>
        <v>0</v>
      </c>
      <c r="CL23" s="1">
        <f t="shared" si="13"/>
        <v>0</v>
      </c>
      <c r="CM23" s="1">
        <f t="shared" si="13"/>
        <v>0</v>
      </c>
    </row>
    <row r="24" spans="2:91" x14ac:dyDescent="0.45">
      <c r="B24" s="19"/>
      <c r="D24" s="1" t="s">
        <v>105</v>
      </c>
      <c r="E24" s="32">
        <v>1.5</v>
      </c>
      <c r="F24" s="1">
        <v>1</v>
      </c>
      <c r="G24" s="32"/>
      <c r="H24" s="32">
        <v>0.25</v>
      </c>
      <c r="J24" s="40"/>
      <c r="K24" s="40">
        <f t="shared" si="14"/>
        <v>0</v>
      </c>
      <c r="L24" s="32"/>
      <c r="M24" s="32"/>
      <c r="N24" s="1">
        <v>0.25</v>
      </c>
      <c r="O24" s="40"/>
      <c r="Q24" s="22"/>
      <c r="R24" s="1">
        <f t="shared" si="12"/>
        <v>0</v>
      </c>
      <c r="S24" s="1">
        <f t="shared" si="12"/>
        <v>0</v>
      </c>
      <c r="T24" s="1">
        <f t="shared" si="12"/>
        <v>0</v>
      </c>
      <c r="U24" s="1">
        <f t="shared" si="12"/>
        <v>0</v>
      </c>
      <c r="V24" s="1">
        <f t="shared" si="12"/>
        <v>0</v>
      </c>
      <c r="W24" s="1">
        <f t="shared" si="12"/>
        <v>0</v>
      </c>
      <c r="X24" s="1">
        <f t="shared" si="12"/>
        <v>0</v>
      </c>
      <c r="Y24" s="1">
        <f t="shared" si="12"/>
        <v>0</v>
      </c>
      <c r="AB24" s="22">
        <v>1</v>
      </c>
      <c r="AC24" s="1">
        <f t="shared" si="9"/>
        <v>1</v>
      </c>
      <c r="AD24" s="1">
        <f t="shared" si="9"/>
        <v>1</v>
      </c>
      <c r="AE24" s="1">
        <f t="shared" si="9"/>
        <v>1</v>
      </c>
      <c r="AF24" s="1">
        <f t="shared" si="9"/>
        <v>1</v>
      </c>
      <c r="AG24" s="1">
        <f t="shared" si="9"/>
        <v>1</v>
      </c>
      <c r="AH24" s="1">
        <f t="shared" si="9"/>
        <v>1</v>
      </c>
      <c r="AI24" s="1">
        <f t="shared" si="9"/>
        <v>1</v>
      </c>
      <c r="AJ24" s="1">
        <f t="shared" si="9"/>
        <v>1</v>
      </c>
      <c r="AM24" s="22"/>
      <c r="AX24" s="22"/>
      <c r="BI24" s="22"/>
      <c r="BT24" s="22">
        <v>1</v>
      </c>
      <c r="BU24" s="1">
        <f t="shared" si="15"/>
        <v>1</v>
      </c>
      <c r="BV24" s="1">
        <f t="shared" si="15"/>
        <v>1</v>
      </c>
      <c r="BW24" s="1">
        <f t="shared" si="15"/>
        <v>1</v>
      </c>
      <c r="BX24" s="1">
        <f t="shared" si="15"/>
        <v>1</v>
      </c>
      <c r="BY24" s="1">
        <f t="shared" si="15"/>
        <v>1</v>
      </c>
      <c r="BZ24" s="1">
        <f t="shared" si="15"/>
        <v>1</v>
      </c>
      <c r="CA24" s="1">
        <f t="shared" si="15"/>
        <v>1</v>
      </c>
      <c r="CB24" s="1">
        <f t="shared" si="15"/>
        <v>1</v>
      </c>
      <c r="CE24" s="22"/>
      <c r="CF24" s="1">
        <f t="shared" si="13"/>
        <v>0</v>
      </c>
      <c r="CG24" s="1">
        <f t="shared" si="13"/>
        <v>0</v>
      </c>
      <c r="CH24" s="1">
        <f t="shared" si="13"/>
        <v>0</v>
      </c>
      <c r="CI24" s="1">
        <f t="shared" si="13"/>
        <v>0</v>
      </c>
      <c r="CJ24" s="1">
        <f t="shared" si="13"/>
        <v>0</v>
      </c>
      <c r="CK24" s="1">
        <f t="shared" si="13"/>
        <v>0</v>
      </c>
      <c r="CL24" s="1">
        <f t="shared" si="13"/>
        <v>0</v>
      </c>
      <c r="CM24" s="1">
        <f t="shared" si="13"/>
        <v>0</v>
      </c>
    </row>
    <row r="25" spans="2:91" x14ac:dyDescent="0.45">
      <c r="B25" s="19"/>
      <c r="C25" s="11" t="s">
        <v>97</v>
      </c>
      <c r="D25" s="11" t="s">
        <v>13</v>
      </c>
      <c r="E25" s="31">
        <v>0.2</v>
      </c>
      <c r="F25" s="11">
        <v>0.5</v>
      </c>
      <c r="G25" s="31">
        <v>1</v>
      </c>
      <c r="H25" s="31">
        <v>1</v>
      </c>
      <c r="I25" s="11">
        <v>0.4</v>
      </c>
      <c r="J25" s="39">
        <v>0.1</v>
      </c>
      <c r="K25" s="39">
        <f t="shared" si="14"/>
        <v>0.11499999999999999</v>
      </c>
      <c r="L25" s="31"/>
      <c r="M25" s="31"/>
      <c r="N25" s="11">
        <v>0</v>
      </c>
      <c r="O25" s="39">
        <v>1.25</v>
      </c>
      <c r="Q25" s="23"/>
      <c r="R25" s="11">
        <f t="shared" si="12"/>
        <v>0</v>
      </c>
      <c r="S25" s="11">
        <f t="shared" si="8"/>
        <v>0</v>
      </c>
      <c r="T25" s="11">
        <f t="shared" si="8"/>
        <v>0</v>
      </c>
      <c r="U25" s="11">
        <f t="shared" si="8"/>
        <v>0</v>
      </c>
      <c r="V25" s="11">
        <f t="shared" si="8"/>
        <v>0</v>
      </c>
      <c r="W25" s="11">
        <f t="shared" si="8"/>
        <v>0</v>
      </c>
      <c r="X25" s="11">
        <f t="shared" si="8"/>
        <v>0</v>
      </c>
      <c r="Y25" s="11">
        <f t="shared" si="8"/>
        <v>0</v>
      </c>
      <c r="AB25" s="23"/>
      <c r="AC25" s="11">
        <f t="shared" si="9"/>
        <v>0</v>
      </c>
      <c r="AD25" s="11">
        <f t="shared" si="9"/>
        <v>0</v>
      </c>
      <c r="AE25" s="11">
        <f t="shared" si="9"/>
        <v>0</v>
      </c>
      <c r="AF25" s="11">
        <f t="shared" si="9"/>
        <v>0</v>
      </c>
      <c r="AG25" s="11">
        <f t="shared" si="9"/>
        <v>0</v>
      </c>
      <c r="AH25" s="11">
        <f t="shared" si="9"/>
        <v>0</v>
      </c>
      <c r="AI25" s="11">
        <f t="shared" si="9"/>
        <v>0</v>
      </c>
      <c r="AJ25" s="11">
        <f t="shared" si="9"/>
        <v>0</v>
      </c>
      <c r="AM25" s="23"/>
      <c r="AN25" s="11"/>
      <c r="AO25" s="11"/>
      <c r="AP25" s="11"/>
      <c r="AQ25" s="11"/>
      <c r="AR25" s="11"/>
      <c r="AS25" s="11"/>
      <c r="AT25" s="11"/>
      <c r="AU25" s="11">
        <v>1</v>
      </c>
      <c r="AX25" s="23"/>
      <c r="AY25" s="11"/>
      <c r="AZ25" s="11"/>
      <c r="BA25" s="11"/>
      <c r="BB25" s="11"/>
      <c r="BC25" s="11"/>
      <c r="BD25" s="11"/>
      <c r="BE25" s="11"/>
      <c r="BF25" s="11"/>
      <c r="BI25" s="23"/>
      <c r="BJ25" s="11"/>
      <c r="BK25" s="11"/>
      <c r="BL25" s="11"/>
      <c r="BM25" s="11"/>
      <c r="BN25" s="11"/>
      <c r="BO25" s="11"/>
      <c r="BP25" s="11"/>
      <c r="BQ25" s="11">
        <v>1</v>
      </c>
      <c r="BT25" s="23">
        <v>1</v>
      </c>
      <c r="BU25" s="11">
        <f t="shared" si="15"/>
        <v>1</v>
      </c>
      <c r="BV25" s="11">
        <f t="shared" si="15"/>
        <v>1</v>
      </c>
      <c r="BW25" s="11">
        <f t="shared" si="15"/>
        <v>1</v>
      </c>
      <c r="BX25" s="11">
        <f t="shared" si="15"/>
        <v>1</v>
      </c>
      <c r="BY25" s="11">
        <f t="shared" si="15"/>
        <v>1</v>
      </c>
      <c r="BZ25" s="11">
        <f t="shared" si="15"/>
        <v>1</v>
      </c>
      <c r="CA25" s="11">
        <f t="shared" si="15"/>
        <v>1</v>
      </c>
      <c r="CB25" s="11">
        <f t="shared" si="15"/>
        <v>1</v>
      </c>
      <c r="CE25" s="23"/>
      <c r="CF25" s="11">
        <f t="shared" si="13"/>
        <v>0</v>
      </c>
      <c r="CG25" s="11">
        <f t="shared" si="13"/>
        <v>0</v>
      </c>
      <c r="CH25" s="11">
        <f t="shared" si="13"/>
        <v>0</v>
      </c>
      <c r="CI25" s="11">
        <f t="shared" si="13"/>
        <v>0</v>
      </c>
      <c r="CJ25" s="11">
        <f t="shared" si="13"/>
        <v>0</v>
      </c>
      <c r="CK25" s="11">
        <f t="shared" si="13"/>
        <v>0</v>
      </c>
      <c r="CL25" s="11">
        <f t="shared" si="13"/>
        <v>0</v>
      </c>
      <c r="CM25" s="11">
        <f t="shared" si="13"/>
        <v>0</v>
      </c>
    </row>
    <row r="26" spans="2:91" x14ac:dyDescent="0.45">
      <c r="B26" s="19"/>
      <c r="D26" s="1" t="s">
        <v>29</v>
      </c>
      <c r="E26" s="32">
        <v>1</v>
      </c>
      <c r="F26" s="1">
        <v>1</v>
      </c>
      <c r="G26" s="32">
        <v>1</v>
      </c>
      <c r="H26" s="32">
        <v>1</v>
      </c>
      <c r="I26" s="1">
        <v>1</v>
      </c>
      <c r="J26" s="40">
        <v>1</v>
      </c>
      <c r="K26" s="40">
        <f t="shared" si="14"/>
        <v>1.1499999999999999</v>
      </c>
      <c r="L26" s="32">
        <v>0.25</v>
      </c>
      <c r="M26" s="32"/>
      <c r="N26" s="1">
        <v>0</v>
      </c>
      <c r="O26" s="40">
        <v>1</v>
      </c>
      <c r="Q26" s="22">
        <v>1</v>
      </c>
      <c r="R26" s="1">
        <f t="shared" si="12"/>
        <v>1</v>
      </c>
      <c r="S26" s="1">
        <f t="shared" si="8"/>
        <v>1</v>
      </c>
      <c r="T26" s="1">
        <f t="shared" si="8"/>
        <v>1</v>
      </c>
      <c r="U26" s="1">
        <f t="shared" si="8"/>
        <v>1</v>
      </c>
      <c r="V26" s="1">
        <f t="shared" si="8"/>
        <v>1</v>
      </c>
      <c r="W26" s="1">
        <f t="shared" si="8"/>
        <v>1</v>
      </c>
      <c r="X26" s="1">
        <f t="shared" si="8"/>
        <v>1</v>
      </c>
      <c r="Y26" s="1">
        <f t="shared" si="8"/>
        <v>1</v>
      </c>
      <c r="AB26" s="22">
        <v>1</v>
      </c>
      <c r="AC26" s="1">
        <f t="shared" si="9"/>
        <v>1</v>
      </c>
      <c r="AD26" s="1">
        <f t="shared" si="9"/>
        <v>1</v>
      </c>
      <c r="AE26" s="1">
        <f t="shared" si="9"/>
        <v>1</v>
      </c>
      <c r="AF26" s="1">
        <f t="shared" si="9"/>
        <v>1</v>
      </c>
      <c r="AG26" s="1">
        <f t="shared" si="9"/>
        <v>1</v>
      </c>
      <c r="AH26" s="1">
        <f t="shared" si="9"/>
        <v>1</v>
      </c>
      <c r="AI26" s="1">
        <v>1</v>
      </c>
      <c r="AJ26" s="1">
        <f t="shared" si="9"/>
        <v>1</v>
      </c>
      <c r="AM26" s="22"/>
      <c r="AX26" s="22"/>
      <c r="BI26" s="22"/>
      <c r="BT26" s="22"/>
      <c r="BU26" s="1">
        <f t="shared" si="15"/>
        <v>0</v>
      </c>
      <c r="BV26" s="1">
        <f t="shared" si="15"/>
        <v>0</v>
      </c>
      <c r="BW26" s="1">
        <f t="shared" si="15"/>
        <v>0</v>
      </c>
      <c r="BX26" s="1">
        <f t="shared" si="15"/>
        <v>0</v>
      </c>
      <c r="BY26" s="1">
        <f t="shared" si="15"/>
        <v>0</v>
      </c>
      <c r="BZ26" s="1">
        <f t="shared" si="15"/>
        <v>0</v>
      </c>
      <c r="CA26" s="1">
        <f t="shared" si="15"/>
        <v>0</v>
      </c>
      <c r="CB26" s="1">
        <f t="shared" si="15"/>
        <v>0</v>
      </c>
      <c r="CE26" s="22"/>
      <c r="CF26" s="1">
        <f t="shared" si="13"/>
        <v>0</v>
      </c>
      <c r="CG26" s="1">
        <f t="shared" si="13"/>
        <v>0</v>
      </c>
      <c r="CH26" s="1">
        <f t="shared" si="13"/>
        <v>0</v>
      </c>
      <c r="CI26" s="1">
        <f t="shared" si="13"/>
        <v>0</v>
      </c>
      <c r="CJ26" s="1">
        <f t="shared" si="13"/>
        <v>0</v>
      </c>
      <c r="CK26" s="1">
        <f t="shared" si="13"/>
        <v>0</v>
      </c>
      <c r="CL26" s="1">
        <f t="shared" si="13"/>
        <v>0</v>
      </c>
      <c r="CM26" s="1">
        <f t="shared" si="13"/>
        <v>0</v>
      </c>
    </row>
    <row r="27" spans="2:91" x14ac:dyDescent="0.45">
      <c r="B27" s="19"/>
      <c r="C27" s="12"/>
      <c r="D27" s="12" t="s">
        <v>28</v>
      </c>
      <c r="E27" s="33">
        <v>1</v>
      </c>
      <c r="F27" s="12">
        <v>1</v>
      </c>
      <c r="G27" s="33"/>
      <c r="H27" s="33"/>
      <c r="I27" s="12"/>
      <c r="J27" s="29"/>
      <c r="K27" s="29"/>
      <c r="L27" s="33"/>
      <c r="M27" s="33"/>
      <c r="N27" s="12">
        <v>0</v>
      </c>
      <c r="O27" s="29">
        <v>1</v>
      </c>
      <c r="Q27" s="24"/>
      <c r="R27" s="12">
        <f t="shared" si="12"/>
        <v>0</v>
      </c>
      <c r="S27" s="12">
        <f t="shared" si="8"/>
        <v>0</v>
      </c>
      <c r="T27" s="12">
        <f t="shared" si="8"/>
        <v>0</v>
      </c>
      <c r="U27" s="12">
        <f t="shared" si="8"/>
        <v>0</v>
      </c>
      <c r="V27" s="12">
        <f t="shared" si="8"/>
        <v>0</v>
      </c>
      <c r="W27" s="12">
        <f t="shared" si="8"/>
        <v>0</v>
      </c>
      <c r="X27" s="12">
        <f t="shared" si="8"/>
        <v>0</v>
      </c>
      <c r="Y27" s="12">
        <f t="shared" si="8"/>
        <v>0</v>
      </c>
      <c r="AB27" s="24"/>
      <c r="AC27" s="12">
        <f t="shared" si="9"/>
        <v>0</v>
      </c>
      <c r="AD27" s="12">
        <f t="shared" si="9"/>
        <v>0</v>
      </c>
      <c r="AE27" s="12">
        <f t="shared" si="9"/>
        <v>0</v>
      </c>
      <c r="AF27" s="12">
        <f t="shared" si="9"/>
        <v>0</v>
      </c>
      <c r="AG27" s="12">
        <f t="shared" si="9"/>
        <v>0</v>
      </c>
      <c r="AH27" s="12">
        <f t="shared" si="9"/>
        <v>0</v>
      </c>
      <c r="AI27" s="12">
        <f t="shared" si="9"/>
        <v>0</v>
      </c>
      <c r="AJ27" s="12">
        <f t="shared" si="9"/>
        <v>0</v>
      </c>
      <c r="AM27" s="24"/>
      <c r="AN27" s="12"/>
      <c r="AO27" s="12"/>
      <c r="AP27" s="12"/>
      <c r="AQ27" s="12"/>
      <c r="AR27" s="12"/>
      <c r="AS27" s="12"/>
      <c r="AT27" s="12"/>
      <c r="AU27" s="12"/>
      <c r="AX27" s="24"/>
      <c r="AY27" s="12"/>
      <c r="AZ27" s="12"/>
      <c r="BA27" s="12"/>
      <c r="BB27" s="12"/>
      <c r="BC27" s="12"/>
      <c r="BD27" s="12"/>
      <c r="BE27" s="12"/>
      <c r="BF27" s="12">
        <v>1</v>
      </c>
      <c r="BI27" s="24"/>
      <c r="BJ27" s="12"/>
      <c r="BK27" s="12"/>
      <c r="BL27" s="12"/>
      <c r="BM27" s="12"/>
      <c r="BN27" s="12"/>
      <c r="BO27" s="12"/>
      <c r="BP27" s="12"/>
      <c r="BQ27" s="12"/>
      <c r="BT27" s="24"/>
      <c r="BU27" s="12">
        <f t="shared" si="15"/>
        <v>0</v>
      </c>
      <c r="BV27" s="12">
        <f t="shared" si="15"/>
        <v>0</v>
      </c>
      <c r="BW27" s="12">
        <f t="shared" si="15"/>
        <v>0</v>
      </c>
      <c r="BX27" s="12">
        <f t="shared" si="15"/>
        <v>0</v>
      </c>
      <c r="BY27" s="12">
        <f t="shared" si="15"/>
        <v>0</v>
      </c>
      <c r="BZ27" s="12">
        <f t="shared" si="15"/>
        <v>0</v>
      </c>
      <c r="CA27" s="12">
        <f t="shared" si="15"/>
        <v>0</v>
      </c>
      <c r="CB27" s="12">
        <f t="shared" si="15"/>
        <v>0</v>
      </c>
      <c r="CE27" s="24">
        <v>1</v>
      </c>
      <c r="CF27" s="12">
        <f t="shared" si="13"/>
        <v>1</v>
      </c>
      <c r="CG27" s="12">
        <f t="shared" si="13"/>
        <v>1</v>
      </c>
      <c r="CH27" s="12">
        <f t="shared" si="13"/>
        <v>1</v>
      </c>
      <c r="CI27" s="12">
        <f t="shared" si="13"/>
        <v>1</v>
      </c>
      <c r="CJ27" s="12">
        <f t="shared" si="13"/>
        <v>1</v>
      </c>
      <c r="CK27" s="12">
        <f t="shared" si="13"/>
        <v>1</v>
      </c>
      <c r="CL27" s="12">
        <f t="shared" si="13"/>
        <v>1</v>
      </c>
      <c r="CM27" s="12">
        <f t="shared" si="13"/>
        <v>1</v>
      </c>
    </row>
    <row r="28" spans="2:91" x14ac:dyDescent="0.45">
      <c r="B28" s="19"/>
      <c r="C28" s="29" t="s">
        <v>98</v>
      </c>
      <c r="D28" s="12"/>
      <c r="E28" s="33">
        <v>0.1</v>
      </c>
      <c r="F28" s="12"/>
      <c r="G28" s="33"/>
      <c r="H28" s="33"/>
      <c r="I28" s="12"/>
      <c r="J28" s="29">
        <v>0.25</v>
      </c>
      <c r="K28" s="29">
        <f t="shared" ref="K28:K29" si="16">J28*1.15</f>
        <v>0.28749999999999998</v>
      </c>
      <c r="L28" s="33"/>
      <c r="M28" s="33"/>
      <c r="N28" s="12"/>
      <c r="O28" s="29"/>
      <c r="Q28" s="24">
        <v>1</v>
      </c>
      <c r="R28" s="12">
        <f t="shared" si="12"/>
        <v>1</v>
      </c>
      <c r="S28" s="12">
        <f t="shared" si="12"/>
        <v>1</v>
      </c>
      <c r="T28" s="12">
        <f t="shared" si="12"/>
        <v>1</v>
      </c>
      <c r="U28" s="12">
        <f t="shared" si="12"/>
        <v>1</v>
      </c>
      <c r="V28" s="12">
        <f t="shared" si="12"/>
        <v>1</v>
      </c>
      <c r="W28" s="12">
        <f t="shared" si="12"/>
        <v>1</v>
      </c>
      <c r="X28" s="12">
        <f t="shared" si="12"/>
        <v>1</v>
      </c>
      <c r="Y28" s="12">
        <f t="shared" si="12"/>
        <v>1</v>
      </c>
      <c r="Z28" s="12"/>
      <c r="AB28" s="24">
        <v>1</v>
      </c>
      <c r="AC28" s="12">
        <f t="shared" ref="AC28:AJ28" si="17">IFERROR($AB28,"")</f>
        <v>1</v>
      </c>
      <c r="AD28" s="12">
        <f t="shared" si="17"/>
        <v>1</v>
      </c>
      <c r="AE28" s="12">
        <f t="shared" si="17"/>
        <v>1</v>
      </c>
      <c r="AF28" s="12">
        <f t="shared" si="17"/>
        <v>1</v>
      </c>
      <c r="AG28" s="12">
        <f t="shared" si="17"/>
        <v>1</v>
      </c>
      <c r="AH28" s="12">
        <f t="shared" si="17"/>
        <v>1</v>
      </c>
      <c r="AI28" s="12">
        <f t="shared" si="17"/>
        <v>1</v>
      </c>
      <c r="AJ28" s="12">
        <f t="shared" si="17"/>
        <v>1</v>
      </c>
      <c r="AM28" s="24"/>
      <c r="AN28" s="12"/>
      <c r="AO28" s="12"/>
      <c r="AP28" s="12"/>
      <c r="AQ28" s="12"/>
      <c r="AR28" s="12"/>
      <c r="AS28" s="12"/>
      <c r="AT28" s="12"/>
      <c r="AU28" s="12"/>
      <c r="AX28" s="24"/>
      <c r="AY28" s="12"/>
      <c r="AZ28" s="12"/>
      <c r="BA28" s="12"/>
      <c r="BB28" s="12"/>
      <c r="BC28" s="12"/>
      <c r="BD28" s="12"/>
      <c r="BE28" s="12"/>
      <c r="BF28" s="12"/>
      <c r="BI28" s="24"/>
      <c r="BJ28" s="12"/>
      <c r="BK28" s="12"/>
      <c r="BL28" s="12"/>
      <c r="BM28" s="12"/>
      <c r="BN28" s="12"/>
      <c r="BO28" s="12"/>
      <c r="BP28" s="12"/>
      <c r="BQ28" s="12"/>
      <c r="BT28" s="24"/>
      <c r="BU28" s="12">
        <f t="shared" si="15"/>
        <v>0</v>
      </c>
      <c r="BV28" s="12">
        <f t="shared" si="15"/>
        <v>0</v>
      </c>
      <c r="BW28" s="12">
        <f t="shared" si="15"/>
        <v>0</v>
      </c>
      <c r="BX28" s="12">
        <f t="shared" si="15"/>
        <v>0</v>
      </c>
      <c r="BY28" s="12">
        <f t="shared" si="15"/>
        <v>0</v>
      </c>
      <c r="BZ28" s="12">
        <f t="shared" si="15"/>
        <v>0</v>
      </c>
      <c r="CA28" s="12">
        <f t="shared" si="15"/>
        <v>0</v>
      </c>
      <c r="CB28" s="12">
        <f t="shared" si="15"/>
        <v>0</v>
      </c>
      <c r="CE28" s="24"/>
      <c r="CF28" s="12">
        <f t="shared" si="13"/>
        <v>0</v>
      </c>
      <c r="CG28" s="12">
        <f t="shared" si="13"/>
        <v>0</v>
      </c>
      <c r="CH28" s="12">
        <f t="shared" si="13"/>
        <v>0</v>
      </c>
      <c r="CI28" s="12">
        <f t="shared" si="13"/>
        <v>0</v>
      </c>
      <c r="CJ28" s="12">
        <f t="shared" si="13"/>
        <v>0</v>
      </c>
      <c r="CK28" s="12">
        <f t="shared" si="13"/>
        <v>0</v>
      </c>
      <c r="CL28" s="12">
        <f t="shared" si="13"/>
        <v>0</v>
      </c>
      <c r="CM28" s="12">
        <f t="shared" si="13"/>
        <v>0</v>
      </c>
    </row>
    <row r="29" spans="2:91" x14ac:dyDescent="0.45">
      <c r="B29" s="25" t="s">
        <v>85</v>
      </c>
      <c r="C29" s="1" t="s">
        <v>84</v>
      </c>
      <c r="E29" s="32"/>
      <c r="G29" s="32"/>
      <c r="H29" s="32"/>
      <c r="J29" s="40">
        <v>0.25</v>
      </c>
      <c r="K29" s="40">
        <f t="shared" si="16"/>
        <v>0.28749999999999998</v>
      </c>
      <c r="L29" s="32"/>
      <c r="M29" s="32">
        <v>0.25</v>
      </c>
      <c r="O29" s="40"/>
      <c r="Q29" s="22"/>
      <c r="R29" s="22"/>
      <c r="S29" s="22"/>
      <c r="T29" s="22"/>
      <c r="U29" s="22"/>
      <c r="V29" s="22"/>
      <c r="W29" s="22">
        <v>1</v>
      </c>
      <c r="X29" s="22"/>
      <c r="Y29" s="22"/>
      <c r="AB29" s="22"/>
      <c r="AC29" s="22"/>
      <c r="AD29" s="22"/>
      <c r="AE29" s="22"/>
      <c r="AF29" s="22">
        <v>1</v>
      </c>
      <c r="AG29" s="22"/>
      <c r="AH29" s="22"/>
      <c r="AI29" s="22"/>
      <c r="AJ29" s="22"/>
      <c r="AM29" s="22"/>
      <c r="AN29" s="22"/>
      <c r="AO29" s="22"/>
      <c r="AP29" s="22"/>
      <c r="AQ29" s="22"/>
      <c r="AR29" s="22"/>
      <c r="AS29" s="22"/>
      <c r="AT29" s="22"/>
      <c r="AU29" s="22"/>
      <c r="AX29" s="22"/>
      <c r="AY29" s="22"/>
      <c r="AZ29" s="22"/>
      <c r="BA29" s="22"/>
      <c r="BB29" s="22"/>
      <c r="BC29" s="22"/>
      <c r="BD29" s="22"/>
      <c r="BE29" s="22"/>
      <c r="BF29" s="22"/>
      <c r="BI29" s="22"/>
      <c r="BJ29" s="22"/>
      <c r="BK29" s="22"/>
      <c r="BL29" s="22"/>
      <c r="BM29" s="22"/>
      <c r="BN29" s="22"/>
      <c r="BO29" s="22"/>
      <c r="BP29" s="22"/>
      <c r="BQ29" s="22"/>
      <c r="BT29" s="22"/>
      <c r="BU29" s="22"/>
      <c r="BV29" s="22"/>
      <c r="BW29" s="22"/>
      <c r="BX29" s="22">
        <v>1</v>
      </c>
      <c r="BY29" s="22"/>
      <c r="BZ29" s="22"/>
      <c r="CA29" s="22"/>
      <c r="CB29" s="22"/>
      <c r="CE29" s="22"/>
      <c r="CF29" s="22"/>
      <c r="CG29" s="22"/>
      <c r="CH29" s="22"/>
      <c r="CI29" s="22"/>
      <c r="CJ29" s="22"/>
      <c r="CK29" s="22">
        <v>1</v>
      </c>
      <c r="CL29" s="22"/>
      <c r="CM29" s="22"/>
    </row>
    <row r="30" spans="2:91" x14ac:dyDescent="0.45">
      <c r="B30" s="19"/>
      <c r="C30" s="1" t="s">
        <v>87</v>
      </c>
      <c r="E30" s="32"/>
      <c r="G30" s="32"/>
      <c r="H30" s="32"/>
      <c r="J30" s="40"/>
      <c r="K30" s="40"/>
      <c r="L30" s="32">
        <v>0.5</v>
      </c>
      <c r="M30" s="32">
        <v>0.1</v>
      </c>
      <c r="N30" s="1">
        <v>1</v>
      </c>
      <c r="O30" s="40"/>
      <c r="Q30" s="22"/>
      <c r="R30" s="22"/>
      <c r="S30" s="22"/>
      <c r="T30" s="22"/>
      <c r="U30" s="22"/>
      <c r="V30" s="22"/>
      <c r="W30" s="22"/>
      <c r="X30" s="22">
        <v>1</v>
      </c>
      <c r="Y30" s="22"/>
      <c r="AB30" s="22"/>
      <c r="AC30" s="22"/>
      <c r="AD30" s="22"/>
      <c r="AE30" s="22"/>
      <c r="AF30" s="22"/>
      <c r="AG30" s="22">
        <v>1</v>
      </c>
      <c r="AH30" s="22"/>
      <c r="AI30" s="22">
        <v>1</v>
      </c>
      <c r="AJ30" s="22"/>
      <c r="AM30" s="22"/>
      <c r="AN30" s="22"/>
      <c r="AO30" s="22"/>
      <c r="AP30" s="22"/>
      <c r="AQ30" s="22"/>
      <c r="AR30" s="22"/>
      <c r="AS30" s="22"/>
      <c r="AT30" s="22"/>
      <c r="AU30" s="22">
        <v>1</v>
      </c>
      <c r="AX30" s="22"/>
      <c r="AY30" s="22"/>
      <c r="AZ30" s="22"/>
      <c r="BA30" s="22"/>
      <c r="BB30" s="22"/>
      <c r="BC30" s="22"/>
      <c r="BD30" s="22"/>
      <c r="BE30" s="22"/>
      <c r="BF30" s="22">
        <v>1</v>
      </c>
      <c r="BI30" s="22"/>
      <c r="BJ30" s="22"/>
      <c r="BK30" s="22"/>
      <c r="BL30" s="22"/>
      <c r="BM30" s="22"/>
      <c r="BN30" s="22"/>
      <c r="BO30" s="22"/>
      <c r="BP30" s="22"/>
      <c r="BQ30" s="22">
        <v>1</v>
      </c>
      <c r="BT30" s="22"/>
      <c r="BU30" s="22"/>
      <c r="BV30" s="22"/>
      <c r="BW30" s="22"/>
      <c r="BX30" s="22"/>
      <c r="BY30" s="22">
        <v>1</v>
      </c>
      <c r="BZ30" s="22"/>
      <c r="CA30" s="22">
        <v>1</v>
      </c>
      <c r="CB30" s="22"/>
      <c r="CE30" s="22"/>
      <c r="CF30" s="22"/>
      <c r="CG30" s="22"/>
      <c r="CH30" s="22"/>
      <c r="CI30" s="22"/>
      <c r="CJ30" s="22"/>
      <c r="CK30" s="22">
        <v>1</v>
      </c>
      <c r="CL30" s="22"/>
      <c r="CM30" s="22"/>
    </row>
    <row r="31" spans="2:91" x14ac:dyDescent="0.45">
      <c r="B31" s="19"/>
      <c r="C31" s="1" t="s">
        <v>16</v>
      </c>
      <c r="E31" s="32"/>
      <c r="G31" s="32"/>
      <c r="H31" s="32"/>
      <c r="J31" s="40">
        <v>0.1</v>
      </c>
      <c r="K31" s="40">
        <f t="shared" ref="K31:K32" si="18">J31*1.15</f>
        <v>0.11499999999999999</v>
      </c>
      <c r="L31" s="32"/>
      <c r="M31" s="32">
        <v>0.1</v>
      </c>
      <c r="O31" s="40"/>
      <c r="Q31" s="22"/>
      <c r="R31" s="22"/>
      <c r="S31" s="22">
        <v>1</v>
      </c>
      <c r="T31" s="22"/>
      <c r="U31" s="22"/>
      <c r="V31" s="22"/>
      <c r="W31" s="22">
        <v>1</v>
      </c>
      <c r="X31" s="22"/>
      <c r="Y31" s="22"/>
      <c r="AB31" s="22"/>
      <c r="AC31" s="22"/>
      <c r="AD31" s="22">
        <v>1</v>
      </c>
      <c r="AE31" s="22"/>
      <c r="AF31" s="22">
        <v>1</v>
      </c>
      <c r="AG31" s="22"/>
      <c r="AH31" s="22"/>
      <c r="AI31" s="22"/>
      <c r="AJ31" s="22"/>
      <c r="AM31" s="22"/>
      <c r="AN31" s="22"/>
      <c r="AO31" s="22"/>
      <c r="AP31" s="22"/>
      <c r="AQ31" s="22"/>
      <c r="AR31" s="22"/>
      <c r="AS31" s="22"/>
      <c r="AT31" s="22"/>
      <c r="AU31" s="22"/>
      <c r="AX31" s="22"/>
      <c r="AY31" s="22"/>
      <c r="AZ31" s="22"/>
      <c r="BA31" s="22"/>
      <c r="BB31" s="22"/>
      <c r="BC31" s="22"/>
      <c r="BD31" s="22"/>
      <c r="BE31" s="22"/>
      <c r="BF31" s="22"/>
      <c r="BI31" s="22"/>
      <c r="BJ31" s="22"/>
      <c r="BK31" s="22"/>
      <c r="BL31" s="22"/>
      <c r="BM31" s="22"/>
      <c r="BN31" s="22"/>
      <c r="BO31" s="22"/>
      <c r="BP31" s="22"/>
      <c r="BQ31" s="22"/>
      <c r="BT31" s="22"/>
      <c r="BU31" s="22"/>
      <c r="BV31" s="22"/>
      <c r="BW31" s="22"/>
      <c r="BX31" s="22">
        <v>1</v>
      </c>
      <c r="BY31" s="22"/>
      <c r="BZ31" s="22"/>
      <c r="CA31" s="22"/>
      <c r="CB31" s="22"/>
      <c r="CE31" s="22"/>
      <c r="CF31" s="22"/>
      <c r="CG31" s="22"/>
      <c r="CH31" s="22"/>
      <c r="CI31" s="22"/>
      <c r="CJ31" s="22"/>
      <c r="CK31" s="22">
        <v>1</v>
      </c>
      <c r="CL31" s="22"/>
      <c r="CM31" s="22"/>
    </row>
    <row r="32" spans="2:91" x14ac:dyDescent="0.45">
      <c r="B32" s="19"/>
      <c r="C32" s="1" t="s">
        <v>86</v>
      </c>
      <c r="E32" s="32"/>
      <c r="G32" s="32"/>
      <c r="H32" s="32"/>
      <c r="J32" s="40">
        <v>0.1</v>
      </c>
      <c r="K32" s="40">
        <f t="shared" si="18"/>
        <v>0.11499999999999999</v>
      </c>
      <c r="L32" s="32"/>
      <c r="M32" s="32">
        <v>0.1</v>
      </c>
      <c r="N32" s="1">
        <v>0.12</v>
      </c>
      <c r="O32" s="40"/>
      <c r="Q32" s="22"/>
      <c r="R32" s="22"/>
      <c r="S32" s="22">
        <v>1</v>
      </c>
      <c r="T32" s="22"/>
      <c r="U32" s="22"/>
      <c r="V32" s="22"/>
      <c r="W32" s="22">
        <v>1</v>
      </c>
      <c r="X32" s="22">
        <v>1</v>
      </c>
      <c r="Y32" s="22"/>
      <c r="AB32" s="22"/>
      <c r="AC32" s="22"/>
      <c r="AD32" s="22">
        <v>1</v>
      </c>
      <c r="AE32" s="22"/>
      <c r="AF32" s="22">
        <v>1</v>
      </c>
      <c r="AG32" s="22"/>
      <c r="AH32" s="22"/>
      <c r="AI32" s="22">
        <v>1</v>
      </c>
      <c r="AJ32" s="22"/>
      <c r="AM32" s="22"/>
      <c r="AN32" s="22"/>
      <c r="AO32" s="22"/>
      <c r="AP32" s="22"/>
      <c r="AQ32" s="22"/>
      <c r="AR32" s="22"/>
      <c r="AS32" s="22"/>
      <c r="AT32" s="22"/>
      <c r="AU32" s="22"/>
      <c r="AX32" s="22"/>
      <c r="AY32" s="22"/>
      <c r="AZ32" s="22"/>
      <c r="BA32" s="22"/>
      <c r="BB32" s="22"/>
      <c r="BC32" s="22"/>
      <c r="BD32" s="22"/>
      <c r="BE32" s="22"/>
      <c r="BF32" s="22"/>
      <c r="BI32" s="22"/>
      <c r="BJ32" s="22"/>
      <c r="BK32" s="22"/>
      <c r="BL32" s="22"/>
      <c r="BM32" s="22"/>
      <c r="BN32" s="22"/>
      <c r="BO32" s="22"/>
      <c r="BP32" s="22"/>
      <c r="BQ32" s="22"/>
      <c r="BT32" s="22"/>
      <c r="BU32" s="22"/>
      <c r="BV32" s="22"/>
      <c r="BW32" s="22"/>
      <c r="BX32" s="22">
        <v>1</v>
      </c>
      <c r="BY32" s="22"/>
      <c r="BZ32" s="22"/>
      <c r="CA32" s="22"/>
      <c r="CB32" s="22"/>
      <c r="CE32" s="22"/>
      <c r="CF32" s="22"/>
      <c r="CG32" s="22"/>
      <c r="CH32" s="22"/>
      <c r="CI32" s="22"/>
      <c r="CJ32" s="22"/>
      <c r="CK32" s="22">
        <v>1</v>
      </c>
      <c r="CL32" s="22"/>
      <c r="CM32" s="22"/>
    </row>
    <row r="33" spans="2:91" x14ac:dyDescent="0.45">
      <c r="B33" s="25" t="s">
        <v>76</v>
      </c>
      <c r="C33" s="11" t="s">
        <v>129</v>
      </c>
      <c r="D33" s="11"/>
      <c r="E33" s="35"/>
      <c r="F33" s="11">
        <v>0.12</v>
      </c>
      <c r="G33" s="35"/>
      <c r="H33" s="35"/>
      <c r="I33" s="18"/>
      <c r="J33" s="42"/>
      <c r="K33" s="42"/>
      <c r="L33" s="35"/>
      <c r="M33" s="35"/>
      <c r="N33" s="18"/>
      <c r="O33" s="39"/>
      <c r="Q33" s="23"/>
      <c r="R33" s="23"/>
      <c r="S33" s="23"/>
      <c r="T33" s="23"/>
      <c r="U33" s="23"/>
      <c r="V33" s="23"/>
      <c r="W33" s="23"/>
      <c r="X33" s="23"/>
      <c r="Y33" s="23"/>
      <c r="AB33" s="23"/>
      <c r="AC33" s="23"/>
      <c r="AD33" s="23"/>
      <c r="AE33" s="23"/>
      <c r="AF33" s="23"/>
      <c r="AG33" s="23"/>
      <c r="AH33" s="23"/>
      <c r="AI33" s="23"/>
      <c r="AJ33" s="23"/>
      <c r="AM33" s="23"/>
      <c r="AN33" s="23"/>
      <c r="AO33" s="23"/>
      <c r="AP33" s="23"/>
      <c r="AQ33" s="23"/>
      <c r="AR33" s="23"/>
      <c r="AS33" s="23"/>
      <c r="AT33" s="23"/>
      <c r="AU33" s="23"/>
      <c r="AX33" s="23"/>
      <c r="AY33" s="23"/>
      <c r="AZ33" s="23"/>
      <c r="BA33" s="23"/>
      <c r="BB33" s="23"/>
      <c r="BC33" s="23"/>
      <c r="BD33" s="23"/>
      <c r="BE33" s="23"/>
      <c r="BF33" s="23"/>
      <c r="BI33" s="23"/>
      <c r="BJ33" s="23"/>
      <c r="BK33" s="23"/>
      <c r="BL33" s="23"/>
      <c r="BM33" s="23"/>
      <c r="BN33" s="23"/>
      <c r="BO33" s="23"/>
      <c r="BP33" s="23"/>
      <c r="BQ33" s="23"/>
      <c r="BT33" s="23"/>
      <c r="BU33" s="23"/>
      <c r="BV33" s="23"/>
      <c r="BW33" s="23"/>
      <c r="BX33" s="23"/>
      <c r="BY33" s="23"/>
      <c r="BZ33" s="23"/>
      <c r="CA33" s="23"/>
      <c r="CB33" s="23"/>
      <c r="CE33" s="23"/>
      <c r="CF33" s="23"/>
      <c r="CG33" s="23"/>
      <c r="CH33" s="23"/>
      <c r="CI33" s="23"/>
      <c r="CJ33" s="23"/>
      <c r="CK33" s="23"/>
      <c r="CL33" s="23"/>
      <c r="CM33" s="23"/>
    </row>
    <row r="34" spans="2:91" x14ac:dyDescent="0.45">
      <c r="B34" s="19"/>
      <c r="C34" s="1" t="s">
        <v>130</v>
      </c>
      <c r="D34" s="1" t="s">
        <v>106</v>
      </c>
      <c r="E34" s="36"/>
      <c r="F34" s="16"/>
      <c r="G34" s="36"/>
      <c r="H34" s="36"/>
      <c r="I34" s="16"/>
      <c r="J34" s="43"/>
      <c r="K34" s="43"/>
      <c r="L34" s="36"/>
      <c r="M34" s="36"/>
      <c r="N34" s="16"/>
      <c r="O34" s="40"/>
      <c r="Q34" s="22">
        <v>1</v>
      </c>
      <c r="R34" s="22"/>
      <c r="S34" s="22"/>
      <c r="T34" s="22"/>
      <c r="U34" s="22"/>
      <c r="V34" s="22"/>
      <c r="W34" s="22"/>
      <c r="X34" s="22"/>
      <c r="Y34" s="22"/>
      <c r="AB34" s="22"/>
      <c r="AC34" s="22"/>
      <c r="AD34" s="22"/>
      <c r="AE34" s="22"/>
      <c r="AF34" s="22"/>
      <c r="AG34" s="22"/>
      <c r="AH34" s="22"/>
      <c r="AI34" s="22"/>
      <c r="AJ34" s="22"/>
      <c r="AM34" s="22"/>
      <c r="AN34" s="22"/>
      <c r="AO34" s="22"/>
      <c r="AP34" s="22"/>
      <c r="AQ34" s="22"/>
      <c r="AR34" s="22"/>
      <c r="AS34" s="22"/>
      <c r="AT34" s="22"/>
      <c r="AU34" s="22"/>
      <c r="AX34" s="22"/>
      <c r="AY34" s="22"/>
      <c r="AZ34" s="22"/>
      <c r="BA34" s="22"/>
      <c r="BB34" s="22"/>
      <c r="BC34" s="22"/>
      <c r="BD34" s="22"/>
      <c r="BE34" s="22"/>
      <c r="BF34" s="22"/>
      <c r="BI34" s="22"/>
      <c r="BJ34" s="22"/>
      <c r="BK34" s="22"/>
      <c r="BL34" s="22"/>
      <c r="BM34" s="22"/>
      <c r="BN34" s="22"/>
      <c r="BO34" s="22"/>
      <c r="BP34" s="22"/>
      <c r="BQ34" s="22"/>
      <c r="BT34" s="22"/>
      <c r="BU34" s="22"/>
      <c r="BV34" s="22"/>
      <c r="BW34" s="22"/>
      <c r="BX34" s="22"/>
      <c r="BY34" s="22"/>
      <c r="BZ34" s="22"/>
      <c r="CA34" s="22"/>
      <c r="CB34" s="22"/>
      <c r="CE34" s="22"/>
      <c r="CF34" s="22"/>
      <c r="CG34" s="22"/>
      <c r="CH34" s="22"/>
      <c r="CI34" s="22"/>
      <c r="CJ34" s="22"/>
      <c r="CK34" s="22"/>
      <c r="CL34" s="22"/>
      <c r="CM34" s="22"/>
    </row>
    <row r="35" spans="2:91" x14ac:dyDescent="0.45">
      <c r="B35" s="19"/>
      <c r="D35" s="1" t="s">
        <v>108</v>
      </c>
      <c r="E35" s="32">
        <v>0.05</v>
      </c>
      <c r="F35" s="16"/>
      <c r="G35" s="36"/>
      <c r="H35" s="36"/>
      <c r="I35" s="16"/>
      <c r="J35" s="43"/>
      <c r="K35" s="43"/>
      <c r="L35" s="36"/>
      <c r="M35" s="36"/>
      <c r="N35" s="16"/>
      <c r="O35" s="40"/>
      <c r="Q35" s="22"/>
      <c r="R35" s="22"/>
      <c r="S35" s="22"/>
      <c r="T35" s="22"/>
      <c r="U35" s="22"/>
      <c r="V35" s="22"/>
      <c r="W35" s="22"/>
      <c r="X35" s="22"/>
      <c r="Y35" s="22"/>
      <c r="AB35" s="22"/>
      <c r="AC35" s="22"/>
      <c r="AD35" s="22"/>
      <c r="AE35" s="22"/>
      <c r="AF35" s="22"/>
      <c r="AG35" s="22"/>
      <c r="AH35" s="22"/>
      <c r="AI35" s="22"/>
      <c r="AJ35" s="22"/>
      <c r="AM35" s="22"/>
      <c r="AN35" s="22"/>
      <c r="AO35" s="22"/>
      <c r="AP35" s="22"/>
      <c r="AQ35" s="22"/>
      <c r="AR35" s="22"/>
      <c r="AS35" s="22"/>
      <c r="AT35" s="22"/>
      <c r="AU35" s="22"/>
      <c r="AX35" s="22"/>
      <c r="AY35" s="22"/>
      <c r="AZ35" s="22"/>
      <c r="BA35" s="22"/>
      <c r="BB35" s="22"/>
      <c r="BC35" s="22"/>
      <c r="BD35" s="22"/>
      <c r="BE35" s="22"/>
      <c r="BF35" s="22"/>
      <c r="BI35" s="22"/>
      <c r="BJ35" s="22"/>
      <c r="BK35" s="22"/>
      <c r="BL35" s="22"/>
      <c r="BM35" s="22"/>
      <c r="BN35" s="22"/>
      <c r="BO35" s="22"/>
      <c r="BP35" s="22"/>
      <c r="BQ35" s="22"/>
      <c r="BT35" s="22"/>
      <c r="BU35" s="22"/>
      <c r="BV35" s="22"/>
      <c r="BW35" s="22"/>
      <c r="BX35" s="22"/>
      <c r="BY35" s="22"/>
      <c r="BZ35" s="22"/>
      <c r="CA35" s="22"/>
      <c r="CB35" s="22"/>
      <c r="CE35" s="22"/>
      <c r="CF35" s="22"/>
      <c r="CG35" s="22"/>
      <c r="CH35" s="22"/>
      <c r="CI35" s="22"/>
      <c r="CJ35" s="22"/>
      <c r="CK35" s="22"/>
      <c r="CL35" s="22"/>
      <c r="CM35" s="22"/>
    </row>
    <row r="36" spans="2:91" x14ac:dyDescent="0.45">
      <c r="B36" s="19"/>
      <c r="D36" s="1" t="s">
        <v>109</v>
      </c>
      <c r="E36" s="32">
        <v>0.1</v>
      </c>
      <c r="F36" s="16"/>
      <c r="G36" s="36"/>
      <c r="H36" s="36"/>
      <c r="I36" s="16"/>
      <c r="J36" s="43"/>
      <c r="K36" s="43"/>
      <c r="L36" s="36"/>
      <c r="M36" s="36"/>
      <c r="N36" s="16"/>
      <c r="O36" s="40"/>
      <c r="Q36" s="22"/>
      <c r="R36" s="22"/>
      <c r="S36" s="22"/>
      <c r="T36" s="22"/>
      <c r="U36" s="22"/>
      <c r="V36" s="22"/>
      <c r="W36" s="22"/>
      <c r="X36" s="22"/>
      <c r="Y36" s="22"/>
      <c r="AB36" s="22">
        <v>1</v>
      </c>
      <c r="AC36" s="22"/>
      <c r="AD36" s="22"/>
      <c r="AE36" s="22"/>
      <c r="AF36" s="22"/>
      <c r="AG36" s="22"/>
      <c r="AH36" s="22"/>
      <c r="AI36" s="22"/>
      <c r="AJ36" s="22"/>
      <c r="AM36" s="22"/>
      <c r="AN36" s="22"/>
      <c r="AO36" s="22"/>
      <c r="AP36" s="22"/>
      <c r="AQ36" s="22"/>
      <c r="AR36" s="22"/>
      <c r="AS36" s="22"/>
      <c r="AT36" s="22"/>
      <c r="AU36" s="22"/>
      <c r="AX36" s="22"/>
      <c r="AY36" s="22"/>
      <c r="AZ36" s="22"/>
      <c r="BA36" s="22"/>
      <c r="BB36" s="22"/>
      <c r="BC36" s="22"/>
      <c r="BD36" s="22"/>
      <c r="BE36" s="22"/>
      <c r="BF36" s="22"/>
      <c r="BI36" s="22"/>
      <c r="BJ36" s="22"/>
      <c r="BK36" s="22"/>
      <c r="BL36" s="22"/>
      <c r="BM36" s="22"/>
      <c r="BN36" s="22"/>
      <c r="BO36" s="22"/>
      <c r="BP36" s="22"/>
      <c r="BQ36" s="22"/>
      <c r="BT36" s="22">
        <v>1</v>
      </c>
      <c r="BU36" s="22"/>
      <c r="BV36" s="22"/>
      <c r="BW36" s="22"/>
      <c r="BX36" s="22"/>
      <c r="BY36" s="22"/>
      <c r="BZ36" s="22"/>
      <c r="CA36" s="22"/>
      <c r="CB36" s="22"/>
      <c r="CE36" s="22"/>
      <c r="CF36" s="22"/>
      <c r="CG36" s="22"/>
      <c r="CH36" s="22"/>
      <c r="CI36" s="22"/>
      <c r="CJ36" s="22"/>
      <c r="CK36" s="22"/>
      <c r="CL36" s="22"/>
      <c r="CM36" s="22"/>
    </row>
    <row r="37" spans="2:91" x14ac:dyDescent="0.45">
      <c r="B37" s="19"/>
      <c r="C37" s="1" t="s">
        <v>122</v>
      </c>
      <c r="E37" s="36"/>
      <c r="F37" s="36"/>
      <c r="G37" s="36"/>
      <c r="H37" s="36"/>
      <c r="I37" s="16"/>
      <c r="J37" s="36"/>
      <c r="K37" s="36"/>
      <c r="L37" s="36"/>
      <c r="M37" s="36"/>
      <c r="N37" s="1">
        <v>0.12</v>
      </c>
      <c r="O37" s="40">
        <v>0.12</v>
      </c>
      <c r="Q37" s="22"/>
      <c r="R37" s="22"/>
      <c r="S37" s="22"/>
      <c r="T37" s="22"/>
      <c r="U37" s="22"/>
      <c r="V37" s="22"/>
      <c r="W37" s="22"/>
      <c r="X37" s="22"/>
      <c r="Y37" s="22"/>
      <c r="AB37" s="22"/>
      <c r="AC37" s="22"/>
      <c r="AD37" s="22"/>
      <c r="AE37" s="22"/>
      <c r="AF37" s="22"/>
      <c r="AG37" s="22"/>
      <c r="AH37" s="22"/>
      <c r="AI37" s="22"/>
      <c r="AJ37" s="22"/>
      <c r="AM37" s="22"/>
      <c r="AN37" s="22"/>
      <c r="AO37" s="22"/>
      <c r="AP37" s="22"/>
      <c r="AQ37" s="22"/>
      <c r="AR37" s="22"/>
      <c r="AS37" s="22"/>
      <c r="AT37" s="22"/>
      <c r="AU37" s="22">
        <v>1</v>
      </c>
      <c r="AX37" s="22"/>
      <c r="AY37" s="22"/>
      <c r="AZ37" s="22"/>
      <c r="BA37" s="22"/>
      <c r="BB37" s="22"/>
      <c r="BC37" s="22"/>
      <c r="BD37" s="22"/>
      <c r="BE37" s="22"/>
      <c r="BF37" s="22">
        <v>1</v>
      </c>
      <c r="BI37" s="22"/>
      <c r="BJ37" s="22"/>
      <c r="BK37" s="22"/>
      <c r="BL37" s="22"/>
      <c r="BM37" s="22"/>
      <c r="BN37" s="22"/>
      <c r="BO37" s="22"/>
      <c r="BP37" s="22"/>
      <c r="BQ37" s="22">
        <v>1</v>
      </c>
      <c r="BT37" s="22"/>
      <c r="BU37" s="22"/>
      <c r="BV37" s="22"/>
      <c r="BW37" s="22"/>
      <c r="BX37" s="22">
        <v>1</v>
      </c>
      <c r="BY37" s="22"/>
      <c r="BZ37" s="22"/>
      <c r="CA37" s="22">
        <v>1</v>
      </c>
      <c r="CB37" s="22"/>
      <c r="CE37" s="22"/>
      <c r="CF37" s="22"/>
      <c r="CG37" s="22"/>
      <c r="CH37" s="22"/>
      <c r="CI37" s="22"/>
      <c r="CJ37" s="22"/>
      <c r="CK37" s="22"/>
      <c r="CL37" s="22"/>
      <c r="CM37" s="22"/>
    </row>
    <row r="38" spans="2:91" x14ac:dyDescent="0.45">
      <c r="B38" s="20"/>
      <c r="C38" s="12" t="s">
        <v>128</v>
      </c>
      <c r="D38" s="12"/>
      <c r="E38" s="37"/>
      <c r="F38" s="37"/>
      <c r="G38" s="37"/>
      <c r="H38" s="37"/>
      <c r="I38" s="17"/>
      <c r="J38" s="37"/>
      <c r="K38" s="37"/>
      <c r="L38" s="37"/>
      <c r="M38" s="37"/>
      <c r="N38" s="12">
        <v>0.12</v>
      </c>
      <c r="O38" s="29">
        <v>0.12</v>
      </c>
      <c r="P38" s="12"/>
      <c r="Q38" s="24"/>
      <c r="R38" s="24"/>
      <c r="S38" s="24">
        <v>1</v>
      </c>
      <c r="T38" s="24"/>
      <c r="U38" s="24"/>
      <c r="V38" s="24"/>
      <c r="W38" s="24">
        <v>1</v>
      </c>
      <c r="X38" s="24">
        <v>1</v>
      </c>
      <c r="Y38" s="24"/>
      <c r="Z38" s="12"/>
      <c r="AA38" s="12"/>
      <c r="AB38" s="24"/>
      <c r="AC38" s="24"/>
      <c r="AD38" s="24">
        <v>1</v>
      </c>
      <c r="AE38" s="24"/>
      <c r="AF38" s="24"/>
      <c r="AG38" s="24"/>
      <c r="AH38" s="24"/>
      <c r="AI38" s="24">
        <v>1</v>
      </c>
      <c r="AJ38" s="24"/>
      <c r="AK38" s="12"/>
      <c r="AL38" s="12"/>
      <c r="AM38" s="24"/>
      <c r="AN38" s="24"/>
      <c r="AO38" s="24"/>
      <c r="AP38" s="24"/>
      <c r="AQ38" s="24"/>
      <c r="AR38" s="24"/>
      <c r="AS38" s="24"/>
      <c r="AT38" s="24"/>
      <c r="AU38" s="24">
        <v>1</v>
      </c>
      <c r="AV38" s="12"/>
      <c r="AW38" s="12"/>
      <c r="AX38" s="24"/>
      <c r="AY38" s="24"/>
      <c r="AZ38" s="24"/>
      <c r="BA38" s="24"/>
      <c r="BB38" s="24"/>
      <c r="BC38" s="24"/>
      <c r="BD38" s="24"/>
      <c r="BE38" s="24"/>
      <c r="BF38" s="24"/>
      <c r="BG38" s="12"/>
      <c r="BH38" s="12"/>
      <c r="BI38" s="24"/>
      <c r="BJ38" s="24"/>
      <c r="BK38" s="24"/>
      <c r="BL38" s="24"/>
      <c r="BM38" s="24"/>
      <c r="BN38" s="24"/>
      <c r="BO38" s="24"/>
      <c r="BP38" s="24"/>
      <c r="BQ38" s="24">
        <v>1</v>
      </c>
      <c r="BR38" s="12"/>
      <c r="BS38" s="12"/>
      <c r="BT38" s="24"/>
      <c r="BU38" s="24"/>
      <c r="BV38" s="24"/>
      <c r="BW38" s="24"/>
      <c r="BX38" s="24">
        <v>1</v>
      </c>
      <c r="BY38" s="24"/>
      <c r="BZ38" s="24"/>
      <c r="CA38" s="24">
        <v>1</v>
      </c>
      <c r="CB38" s="24"/>
      <c r="CC38" s="12"/>
      <c r="CD38" s="12"/>
      <c r="CE38" s="24"/>
      <c r="CF38" s="24"/>
      <c r="CG38" s="24"/>
      <c r="CH38" s="24"/>
      <c r="CI38" s="24"/>
      <c r="CJ38" s="24"/>
      <c r="CK38" s="24"/>
      <c r="CL38" s="24"/>
      <c r="CM38" s="24"/>
    </row>
    <row r="39" spans="2:91" x14ac:dyDescent="0.45">
      <c r="B39" s="19" t="s">
        <v>146</v>
      </c>
      <c r="C39" s="1" t="s">
        <v>12</v>
      </c>
      <c r="E39" s="36"/>
      <c r="F39" s="1">
        <v>0.15</v>
      </c>
      <c r="G39" s="32">
        <v>1</v>
      </c>
      <c r="H39" s="32">
        <v>1</v>
      </c>
      <c r="I39" s="16"/>
      <c r="J39" s="43"/>
      <c r="K39" s="43"/>
      <c r="L39" s="36"/>
      <c r="M39" s="32">
        <v>0.1</v>
      </c>
      <c r="N39" s="1">
        <v>0.12</v>
      </c>
      <c r="O39" s="40"/>
      <c r="Q39" s="22"/>
      <c r="R39" s="22"/>
      <c r="S39" s="22">
        <v>1</v>
      </c>
      <c r="T39" s="22"/>
      <c r="U39" s="22"/>
      <c r="V39" s="22"/>
      <c r="W39" s="22">
        <v>1</v>
      </c>
      <c r="X39" s="22"/>
      <c r="Y39" s="22"/>
      <c r="AB39" s="22"/>
      <c r="AC39" s="22"/>
      <c r="AD39" s="22">
        <v>1</v>
      </c>
      <c r="AE39" s="22"/>
      <c r="AF39" s="22">
        <v>1</v>
      </c>
      <c r="AG39" s="22"/>
      <c r="AH39" s="22"/>
      <c r="AI39" s="22"/>
      <c r="AJ39" s="22"/>
      <c r="AM39" s="22"/>
      <c r="AN39" s="22"/>
      <c r="AO39" s="22"/>
      <c r="AP39" s="22"/>
      <c r="AQ39" s="22"/>
      <c r="AR39" s="22"/>
      <c r="AS39" s="22"/>
      <c r="AT39" s="22"/>
      <c r="AU39" s="22"/>
      <c r="AX39" s="22"/>
      <c r="AY39" s="22"/>
      <c r="AZ39" s="22"/>
      <c r="BA39" s="22"/>
      <c r="BB39" s="22"/>
      <c r="BC39" s="22"/>
      <c r="BD39" s="22"/>
      <c r="BE39" s="22"/>
      <c r="BF39" s="22"/>
      <c r="BI39" s="22"/>
      <c r="BJ39" s="22"/>
      <c r="BK39" s="22"/>
      <c r="BL39" s="22"/>
      <c r="BM39" s="22"/>
      <c r="BN39" s="22"/>
      <c r="BO39" s="22"/>
      <c r="BP39" s="22"/>
      <c r="BQ39" s="22"/>
      <c r="BT39" s="22"/>
      <c r="BU39" s="22"/>
      <c r="BV39" s="22"/>
      <c r="BW39" s="22"/>
      <c r="BX39" s="22"/>
      <c r="BY39" s="22"/>
      <c r="BZ39" s="22"/>
      <c r="CA39" s="22"/>
      <c r="CB39" s="22"/>
      <c r="CE39" s="22"/>
      <c r="CF39" s="22"/>
      <c r="CG39" s="22"/>
      <c r="CH39" s="22"/>
      <c r="CI39" s="22"/>
      <c r="CJ39" s="22"/>
      <c r="CK39" s="22">
        <v>1</v>
      </c>
      <c r="CL39" s="22"/>
      <c r="CM39" s="22"/>
    </row>
    <row r="40" spans="2:91" x14ac:dyDescent="0.45">
      <c r="B40" s="19"/>
      <c r="C40" s="1" t="s">
        <v>4</v>
      </c>
      <c r="E40" s="36"/>
      <c r="F40" s="16"/>
      <c r="G40" s="36"/>
      <c r="H40" s="36"/>
      <c r="I40" s="16"/>
      <c r="J40" s="43"/>
      <c r="K40" s="43"/>
      <c r="L40" s="36"/>
      <c r="M40" s="32">
        <v>0.2</v>
      </c>
      <c r="N40" s="1">
        <v>0.12</v>
      </c>
      <c r="O40" s="40"/>
      <c r="Q40" s="22">
        <v>1</v>
      </c>
      <c r="R40" s="22"/>
      <c r="S40" s="22"/>
      <c r="T40" s="22"/>
      <c r="U40" s="22"/>
      <c r="V40" s="22"/>
      <c r="W40" s="22">
        <v>1</v>
      </c>
      <c r="X40" s="22"/>
      <c r="Y40" s="22"/>
      <c r="AB40" s="22">
        <v>1</v>
      </c>
      <c r="AC40" s="22"/>
      <c r="AD40" s="22"/>
      <c r="AE40" s="22"/>
      <c r="AF40" s="22">
        <v>1</v>
      </c>
      <c r="AG40" s="22"/>
      <c r="AH40" s="22"/>
      <c r="AI40" s="22">
        <v>1</v>
      </c>
      <c r="AJ40" s="22"/>
      <c r="AM40" s="22"/>
      <c r="AN40" s="22"/>
      <c r="AO40" s="22"/>
      <c r="AP40" s="22"/>
      <c r="AQ40" s="22"/>
      <c r="AR40" s="22"/>
      <c r="AS40" s="22"/>
      <c r="AT40" s="22"/>
      <c r="AU40" s="22"/>
      <c r="AX40" s="22"/>
      <c r="AY40" s="22"/>
      <c r="AZ40" s="22"/>
      <c r="BA40" s="22"/>
      <c r="BB40" s="22"/>
      <c r="BC40" s="22"/>
      <c r="BD40" s="22"/>
      <c r="BE40" s="22"/>
      <c r="BF40" s="22"/>
      <c r="BI40" s="22"/>
      <c r="BJ40" s="22"/>
      <c r="BK40" s="22"/>
      <c r="BL40" s="22"/>
      <c r="BM40" s="22"/>
      <c r="BN40" s="22"/>
      <c r="BO40" s="22"/>
      <c r="BP40" s="22"/>
      <c r="BQ40" s="22">
        <v>1</v>
      </c>
      <c r="BT40" s="22">
        <v>1</v>
      </c>
      <c r="BU40" s="22"/>
      <c r="BV40" s="22"/>
      <c r="BW40" s="22"/>
      <c r="BX40" s="22">
        <v>1</v>
      </c>
      <c r="BY40" s="22"/>
      <c r="BZ40" s="22"/>
      <c r="CA40" s="22"/>
      <c r="CB40" s="22"/>
      <c r="CE40" s="22"/>
      <c r="CF40" s="22"/>
      <c r="CG40" s="22"/>
      <c r="CH40" s="22"/>
      <c r="CI40" s="22"/>
      <c r="CJ40" s="22"/>
      <c r="CK40" s="22">
        <v>1</v>
      </c>
      <c r="CL40" s="22"/>
      <c r="CM40" s="22"/>
    </row>
    <row r="41" spans="2:91" x14ac:dyDescent="0.45">
      <c r="B41" s="19"/>
      <c r="C41" s="1" t="s">
        <v>5</v>
      </c>
      <c r="E41" s="36"/>
      <c r="F41" s="16"/>
      <c r="G41" s="32">
        <v>1</v>
      </c>
      <c r="H41" s="32">
        <v>1</v>
      </c>
      <c r="I41" s="16"/>
      <c r="J41" s="43"/>
      <c r="K41" s="43"/>
      <c r="L41" s="36"/>
      <c r="M41" s="36"/>
      <c r="N41" s="1">
        <v>0.12</v>
      </c>
      <c r="O41" s="40">
        <v>0.12</v>
      </c>
      <c r="Q41" s="22"/>
      <c r="R41" s="22"/>
      <c r="S41" s="22"/>
      <c r="T41" s="22"/>
      <c r="U41" s="22"/>
      <c r="V41" s="22"/>
      <c r="W41" s="22"/>
      <c r="X41" s="22">
        <v>1</v>
      </c>
      <c r="Y41" s="22"/>
      <c r="AB41" s="22">
        <v>1</v>
      </c>
      <c r="AC41" s="22"/>
      <c r="AD41" s="22">
        <v>1</v>
      </c>
      <c r="AE41" s="22"/>
      <c r="AF41" s="22"/>
      <c r="AG41" s="22">
        <v>1</v>
      </c>
      <c r="AH41" s="22"/>
      <c r="AI41" s="22">
        <v>1</v>
      </c>
      <c r="AJ41" s="22"/>
      <c r="AM41" s="22"/>
      <c r="AN41" s="22"/>
      <c r="AO41" s="22"/>
      <c r="AP41" s="22"/>
      <c r="AQ41" s="22"/>
      <c r="AR41" s="22"/>
      <c r="AS41" s="22"/>
      <c r="AT41" s="22"/>
      <c r="AU41" s="22">
        <v>1</v>
      </c>
      <c r="AX41" s="22"/>
      <c r="AY41" s="22"/>
      <c r="AZ41" s="22"/>
      <c r="BA41" s="22"/>
      <c r="BB41" s="22"/>
      <c r="BC41" s="22"/>
      <c r="BD41" s="22"/>
      <c r="BE41" s="22"/>
      <c r="BF41" s="22"/>
      <c r="BI41" s="22"/>
      <c r="BJ41" s="22"/>
      <c r="BK41" s="22"/>
      <c r="BL41" s="22"/>
      <c r="BM41" s="22"/>
      <c r="BN41" s="22"/>
      <c r="BO41" s="22"/>
      <c r="BP41" s="22"/>
      <c r="BQ41" s="22">
        <v>1</v>
      </c>
      <c r="BT41" s="22">
        <v>1</v>
      </c>
      <c r="BU41" s="22"/>
      <c r="BV41" s="22"/>
      <c r="BW41" s="22"/>
      <c r="BX41" s="22"/>
      <c r="BY41" s="22"/>
      <c r="BZ41" s="22"/>
      <c r="CA41" s="22">
        <v>1</v>
      </c>
      <c r="CB41" s="22"/>
      <c r="CE41" s="22"/>
      <c r="CF41" s="22"/>
      <c r="CG41" s="22"/>
      <c r="CH41" s="22"/>
      <c r="CI41" s="22"/>
      <c r="CJ41" s="22"/>
      <c r="CK41" s="22"/>
      <c r="CL41" s="22"/>
      <c r="CM41" s="22"/>
    </row>
    <row r="42" spans="2:91" x14ac:dyDescent="0.45">
      <c r="B42" s="19"/>
      <c r="C42" s="1" t="s">
        <v>6</v>
      </c>
      <c r="E42" s="36"/>
      <c r="F42" s="16"/>
      <c r="G42" s="36"/>
      <c r="H42" s="36"/>
      <c r="I42" s="16"/>
      <c r="J42" s="43"/>
      <c r="K42" s="43"/>
      <c r="L42" s="36"/>
      <c r="M42" s="36"/>
      <c r="N42" s="1">
        <v>0.12</v>
      </c>
      <c r="O42" s="40"/>
      <c r="Q42" s="22">
        <v>1</v>
      </c>
      <c r="R42" s="22"/>
      <c r="S42" s="22">
        <v>1</v>
      </c>
      <c r="T42" s="22"/>
      <c r="U42" s="22"/>
      <c r="V42" s="22"/>
      <c r="W42" s="22"/>
      <c r="X42" s="22"/>
      <c r="Y42" s="22"/>
      <c r="AB42" s="22"/>
      <c r="AC42" s="22"/>
      <c r="AD42" s="22"/>
      <c r="AE42" s="22"/>
      <c r="AF42" s="22"/>
      <c r="AG42" s="22"/>
      <c r="AH42" s="22"/>
      <c r="AI42" s="22"/>
      <c r="AJ42" s="22"/>
      <c r="AM42" s="22"/>
      <c r="AN42" s="22"/>
      <c r="AO42" s="22"/>
      <c r="AP42" s="22"/>
      <c r="AQ42" s="22"/>
      <c r="AR42" s="22"/>
      <c r="AS42" s="22"/>
      <c r="AT42" s="22"/>
      <c r="AU42" s="22"/>
      <c r="AX42" s="22"/>
      <c r="AY42" s="22"/>
      <c r="AZ42" s="22"/>
      <c r="BA42" s="22"/>
      <c r="BB42" s="22"/>
      <c r="BC42" s="22"/>
      <c r="BD42" s="22"/>
      <c r="BE42" s="22"/>
      <c r="BF42" s="22"/>
      <c r="BI42" s="22"/>
      <c r="BJ42" s="22"/>
      <c r="BK42" s="22"/>
      <c r="BL42" s="22"/>
      <c r="BM42" s="22"/>
      <c r="BN42" s="22"/>
      <c r="BO42" s="22"/>
      <c r="BP42" s="22"/>
      <c r="BQ42" s="22"/>
      <c r="BT42" s="22"/>
      <c r="BU42" s="22"/>
      <c r="BV42" s="22"/>
      <c r="BW42" s="22"/>
      <c r="BX42" s="22"/>
      <c r="BY42" s="22"/>
      <c r="BZ42" s="22"/>
      <c r="CA42" s="22"/>
      <c r="CB42" s="22"/>
      <c r="CE42" s="22"/>
      <c r="CF42" s="22"/>
      <c r="CG42" s="22"/>
      <c r="CH42" s="22"/>
      <c r="CI42" s="22"/>
      <c r="CJ42" s="22"/>
      <c r="CK42" s="22"/>
      <c r="CL42" s="22"/>
      <c r="CM42" s="22"/>
    </row>
    <row r="43" spans="2:91" x14ac:dyDescent="0.45">
      <c r="B43" s="19"/>
      <c r="C43" s="1" t="s">
        <v>7</v>
      </c>
      <c r="E43" s="36"/>
      <c r="F43" s="1">
        <v>0.12</v>
      </c>
      <c r="G43" s="36"/>
      <c r="H43" s="36"/>
      <c r="I43" s="16"/>
      <c r="J43" s="43"/>
      <c r="K43" s="43"/>
      <c r="L43" s="36"/>
      <c r="M43" s="32">
        <v>0.1</v>
      </c>
      <c r="N43" s="1">
        <v>0.12</v>
      </c>
      <c r="O43" s="40">
        <v>0.12</v>
      </c>
      <c r="Q43" s="22"/>
      <c r="R43" s="22"/>
      <c r="S43" s="22"/>
      <c r="T43" s="22"/>
      <c r="U43" s="22"/>
      <c r="V43" s="22"/>
      <c r="W43" s="22"/>
      <c r="X43" s="22"/>
      <c r="Y43" s="22"/>
      <c r="AB43" s="22">
        <v>1</v>
      </c>
      <c r="AC43" s="22"/>
      <c r="AD43" s="22">
        <v>1</v>
      </c>
      <c r="AE43" s="22"/>
      <c r="AF43" s="22"/>
      <c r="AG43" s="22"/>
      <c r="AH43" s="22"/>
      <c r="AI43" s="22">
        <v>1</v>
      </c>
      <c r="AJ43" s="22"/>
      <c r="AM43" s="22"/>
      <c r="AN43" s="22"/>
      <c r="AO43" s="22"/>
      <c r="AP43" s="22"/>
      <c r="AQ43" s="22"/>
      <c r="AR43" s="22"/>
      <c r="AS43" s="22"/>
      <c r="AT43" s="22"/>
      <c r="AU43" s="22">
        <v>1</v>
      </c>
      <c r="AX43" s="22"/>
      <c r="AY43" s="22"/>
      <c r="AZ43" s="22"/>
      <c r="BA43" s="22"/>
      <c r="BB43" s="22"/>
      <c r="BC43" s="22"/>
      <c r="BD43" s="22"/>
      <c r="BE43" s="22"/>
      <c r="BF43" s="22"/>
      <c r="BI43" s="22"/>
      <c r="BJ43" s="22"/>
      <c r="BK43" s="22"/>
      <c r="BL43" s="22"/>
      <c r="BM43" s="22"/>
      <c r="BN43" s="22"/>
      <c r="BO43" s="22"/>
      <c r="BP43" s="22"/>
      <c r="BQ43" s="22">
        <v>1</v>
      </c>
      <c r="BT43" s="22">
        <v>1</v>
      </c>
      <c r="BU43" s="22"/>
      <c r="BV43" s="22"/>
      <c r="BW43" s="22"/>
      <c r="BX43" s="22"/>
      <c r="BY43" s="22"/>
      <c r="BZ43" s="22"/>
      <c r="CA43" s="22">
        <v>1</v>
      </c>
      <c r="CB43" s="22"/>
      <c r="CE43" s="22"/>
      <c r="CF43" s="22"/>
      <c r="CG43" s="22"/>
      <c r="CH43" s="22"/>
      <c r="CI43" s="22"/>
      <c r="CJ43" s="22"/>
      <c r="CK43" s="22"/>
      <c r="CL43" s="22"/>
      <c r="CM43" s="22"/>
    </row>
    <row r="44" spans="2:91" x14ac:dyDescent="0.45">
      <c r="B44" s="19"/>
      <c r="C44" s="1" t="s">
        <v>73</v>
      </c>
      <c r="E44" s="36"/>
      <c r="F44" s="16"/>
      <c r="G44" s="36"/>
      <c r="H44" s="36"/>
      <c r="I44" s="1">
        <v>0.3</v>
      </c>
      <c r="J44" s="40">
        <v>0.5</v>
      </c>
      <c r="K44" s="40">
        <f>J44*1.15</f>
        <v>0.57499999999999996</v>
      </c>
      <c r="L44" s="32">
        <v>0.25</v>
      </c>
      <c r="M44" s="36"/>
      <c r="N44" s="16"/>
      <c r="O44" s="40">
        <v>0.12</v>
      </c>
      <c r="Q44" s="22">
        <v>1</v>
      </c>
      <c r="R44" s="22"/>
      <c r="S44" s="22">
        <v>1</v>
      </c>
      <c r="T44" s="22">
        <v>1</v>
      </c>
      <c r="U44" s="22"/>
      <c r="V44" s="22"/>
      <c r="W44" s="22">
        <v>1</v>
      </c>
      <c r="X44" s="22"/>
      <c r="Y44" s="22"/>
      <c r="AB44" s="22">
        <v>1</v>
      </c>
      <c r="AC44" s="22"/>
      <c r="AD44" s="22">
        <v>1</v>
      </c>
      <c r="AE44" s="22">
        <v>1</v>
      </c>
      <c r="AF44" s="22">
        <v>1</v>
      </c>
      <c r="AG44" s="22">
        <v>1</v>
      </c>
      <c r="AH44" s="22"/>
      <c r="AI44" s="22"/>
      <c r="AJ44" s="22"/>
      <c r="AM44" s="22"/>
      <c r="AN44" s="22"/>
      <c r="AO44" s="22"/>
      <c r="AP44" s="22"/>
      <c r="AQ44" s="22"/>
      <c r="AR44" s="22"/>
      <c r="AS44" s="22"/>
      <c r="AT44" s="22"/>
      <c r="AU44" s="22"/>
      <c r="AX44" s="22"/>
      <c r="AY44" s="22"/>
      <c r="AZ44" s="22"/>
      <c r="BA44" s="22"/>
      <c r="BB44" s="22"/>
      <c r="BC44" s="22"/>
      <c r="BD44" s="22"/>
      <c r="BE44" s="22"/>
      <c r="BF44" s="22"/>
      <c r="BI44" s="22"/>
      <c r="BJ44" s="22"/>
      <c r="BK44" s="22"/>
      <c r="BL44" s="22"/>
      <c r="BM44" s="22"/>
      <c r="BN44" s="22"/>
      <c r="BO44" s="22"/>
      <c r="BP44" s="22"/>
      <c r="BQ44" s="22">
        <v>1</v>
      </c>
      <c r="BT44" s="22">
        <v>1</v>
      </c>
      <c r="BU44" s="22"/>
      <c r="BV44" s="22"/>
      <c r="BW44" s="22"/>
      <c r="BX44" s="22"/>
      <c r="BY44" s="22">
        <v>1</v>
      </c>
      <c r="BZ44" s="22"/>
      <c r="CA44" s="22"/>
      <c r="CB44" s="22"/>
      <c r="CE44" s="22"/>
      <c r="CF44" s="22"/>
      <c r="CG44" s="22"/>
      <c r="CH44" s="22"/>
      <c r="CI44" s="22"/>
      <c r="CJ44" s="22"/>
      <c r="CK44" s="22"/>
      <c r="CL44" s="22"/>
      <c r="CM44" s="22"/>
    </row>
    <row r="45" spans="2:91" x14ac:dyDescent="0.45">
      <c r="B45" s="19"/>
      <c r="C45" s="1" t="s">
        <v>8</v>
      </c>
      <c r="E45" s="36"/>
      <c r="F45" s="1">
        <v>0.12</v>
      </c>
      <c r="G45" s="32">
        <v>1</v>
      </c>
      <c r="H45" s="32">
        <v>1</v>
      </c>
      <c r="I45" s="16"/>
      <c r="J45" s="43"/>
      <c r="K45" s="43"/>
      <c r="L45" s="36"/>
      <c r="M45" s="32">
        <v>0.1</v>
      </c>
      <c r="N45" s="1">
        <v>0.12</v>
      </c>
      <c r="O45" s="40">
        <v>0.12</v>
      </c>
      <c r="Q45" s="22">
        <v>1</v>
      </c>
      <c r="R45" s="22"/>
      <c r="S45" s="22">
        <v>1</v>
      </c>
      <c r="T45" s="22"/>
      <c r="U45" s="22"/>
      <c r="V45" s="22"/>
      <c r="W45" s="22"/>
      <c r="X45" s="22"/>
      <c r="Y45" s="22"/>
      <c r="AB45" s="22">
        <v>1</v>
      </c>
      <c r="AC45" s="22"/>
      <c r="AD45" s="22">
        <v>1</v>
      </c>
      <c r="AE45" s="22"/>
      <c r="AF45" s="22"/>
      <c r="AG45" s="22"/>
      <c r="AH45" s="22"/>
      <c r="AI45" s="22"/>
      <c r="AJ45" s="22"/>
      <c r="AM45" s="22"/>
      <c r="AN45" s="22"/>
      <c r="AO45" s="22"/>
      <c r="AP45" s="22"/>
      <c r="AQ45" s="22"/>
      <c r="AR45" s="22"/>
      <c r="AS45" s="22"/>
      <c r="AT45" s="22"/>
      <c r="AU45" s="22">
        <v>1</v>
      </c>
      <c r="AX45" s="22"/>
      <c r="AY45" s="22"/>
      <c r="AZ45" s="22"/>
      <c r="BA45" s="22"/>
      <c r="BB45" s="22"/>
      <c r="BC45" s="22"/>
      <c r="BD45" s="22"/>
      <c r="BE45" s="22"/>
      <c r="BF45" s="22">
        <v>1</v>
      </c>
      <c r="BI45" s="22"/>
      <c r="BJ45" s="22"/>
      <c r="BK45" s="22"/>
      <c r="BL45" s="22"/>
      <c r="BM45" s="22"/>
      <c r="BN45" s="22"/>
      <c r="BO45" s="22"/>
      <c r="BP45" s="22"/>
      <c r="BQ45" s="22">
        <v>1</v>
      </c>
      <c r="BT45" s="22">
        <v>1</v>
      </c>
      <c r="BU45" s="22"/>
      <c r="BV45" s="22"/>
      <c r="BW45" s="22"/>
      <c r="BX45" s="22">
        <v>1</v>
      </c>
      <c r="BY45" s="22"/>
      <c r="BZ45" s="22"/>
      <c r="CA45" s="22"/>
      <c r="CB45" s="22"/>
      <c r="CE45" s="22"/>
      <c r="CF45" s="22"/>
      <c r="CG45" s="22"/>
      <c r="CH45" s="22"/>
      <c r="CI45" s="22"/>
      <c r="CJ45" s="22"/>
      <c r="CK45" s="22">
        <v>1</v>
      </c>
      <c r="CL45" s="22"/>
      <c r="CM45" s="22"/>
    </row>
    <row r="46" spans="2:91" x14ac:dyDescent="0.45">
      <c r="B46" s="19"/>
      <c r="C46" s="1" t="s">
        <v>9</v>
      </c>
      <c r="E46" s="32">
        <v>0.03</v>
      </c>
      <c r="F46" s="16"/>
      <c r="G46" s="32">
        <v>0.03</v>
      </c>
      <c r="H46" s="32">
        <v>0.03</v>
      </c>
      <c r="I46" s="16"/>
      <c r="J46" s="43"/>
      <c r="K46" s="43"/>
      <c r="L46" s="36"/>
      <c r="M46" s="36"/>
      <c r="N46" s="16"/>
      <c r="O46" s="40"/>
      <c r="Q46" s="22"/>
      <c r="R46" s="22"/>
      <c r="S46" s="22"/>
      <c r="T46" s="22"/>
      <c r="U46" s="22"/>
      <c r="V46" s="22"/>
      <c r="W46" s="22"/>
      <c r="X46" s="22"/>
      <c r="Y46" s="22"/>
      <c r="AB46" s="22">
        <v>1</v>
      </c>
      <c r="AC46" s="22"/>
      <c r="AD46" s="22">
        <v>1</v>
      </c>
      <c r="AE46" s="22"/>
      <c r="AF46" s="22">
        <v>1</v>
      </c>
      <c r="AG46" s="22"/>
      <c r="AH46" s="22"/>
      <c r="AI46" s="22">
        <v>1</v>
      </c>
      <c r="AJ46" s="22"/>
      <c r="AM46" s="22"/>
      <c r="AN46" s="22"/>
      <c r="AO46" s="22"/>
      <c r="AP46" s="22"/>
      <c r="AQ46" s="22"/>
      <c r="AR46" s="22"/>
      <c r="AS46" s="22"/>
      <c r="AT46" s="22"/>
      <c r="AU46" s="22"/>
      <c r="AX46" s="22"/>
      <c r="AY46" s="22"/>
      <c r="AZ46" s="22"/>
      <c r="BA46" s="22"/>
      <c r="BB46" s="22"/>
      <c r="BC46" s="22"/>
      <c r="BD46" s="22"/>
      <c r="BE46" s="22"/>
      <c r="BF46" s="22"/>
      <c r="BI46" s="22"/>
      <c r="BJ46" s="22"/>
      <c r="BK46" s="22"/>
      <c r="BL46" s="22"/>
      <c r="BM46" s="22"/>
      <c r="BN46" s="22"/>
      <c r="BO46" s="22"/>
      <c r="BP46" s="22"/>
      <c r="BQ46" s="22"/>
      <c r="BT46" s="22"/>
      <c r="BU46" s="22"/>
      <c r="BV46" s="22"/>
      <c r="BW46" s="22"/>
      <c r="BX46" s="22"/>
      <c r="BY46" s="22"/>
      <c r="BZ46" s="22"/>
      <c r="CA46" s="22"/>
      <c r="CB46" s="22"/>
      <c r="CE46" s="22"/>
      <c r="CF46" s="22"/>
      <c r="CG46" s="22"/>
      <c r="CH46" s="22"/>
      <c r="CI46" s="22"/>
      <c r="CJ46" s="22"/>
      <c r="CK46" s="22"/>
      <c r="CL46" s="22"/>
      <c r="CM46" s="22"/>
    </row>
    <row r="47" spans="2:91" x14ac:dyDescent="0.45">
      <c r="B47" s="19"/>
      <c r="C47" s="1" t="s">
        <v>10</v>
      </c>
      <c r="E47" s="32">
        <v>0.03</v>
      </c>
      <c r="F47" s="16"/>
      <c r="G47" s="32">
        <v>0.03</v>
      </c>
      <c r="H47" s="32">
        <v>0.03</v>
      </c>
      <c r="I47" s="16"/>
      <c r="J47" s="43"/>
      <c r="K47" s="43"/>
      <c r="L47" s="36"/>
      <c r="M47" s="36"/>
      <c r="N47" s="16"/>
      <c r="O47" s="40"/>
      <c r="Q47" s="22">
        <v>1</v>
      </c>
      <c r="R47" s="22"/>
      <c r="S47" s="22">
        <v>1</v>
      </c>
      <c r="T47" s="22"/>
      <c r="U47" s="22"/>
      <c r="V47" s="22"/>
      <c r="W47" s="22">
        <v>1</v>
      </c>
      <c r="X47" s="22"/>
      <c r="Y47" s="22"/>
      <c r="AB47" s="22">
        <v>1</v>
      </c>
      <c r="AC47" s="22"/>
      <c r="AD47" s="22">
        <v>1</v>
      </c>
      <c r="AE47" s="22"/>
      <c r="AF47" s="22">
        <v>1</v>
      </c>
      <c r="AG47" s="22">
        <v>1</v>
      </c>
      <c r="AH47" s="22"/>
      <c r="AI47" s="22"/>
      <c r="AJ47" s="22"/>
      <c r="AM47" s="22"/>
      <c r="AN47" s="22"/>
      <c r="AO47" s="22"/>
      <c r="AP47" s="22"/>
      <c r="AQ47" s="22"/>
      <c r="AR47" s="22"/>
      <c r="AS47" s="22"/>
      <c r="AT47" s="22"/>
      <c r="AU47" s="22"/>
      <c r="AX47" s="22"/>
      <c r="AY47" s="22"/>
      <c r="AZ47" s="22"/>
      <c r="BA47" s="22"/>
      <c r="BB47" s="22"/>
      <c r="BC47" s="22"/>
      <c r="BD47" s="22"/>
      <c r="BE47" s="22"/>
      <c r="BF47" s="22"/>
      <c r="BI47" s="22"/>
      <c r="BJ47" s="22"/>
      <c r="BK47" s="22"/>
      <c r="BL47" s="22"/>
      <c r="BM47" s="22"/>
      <c r="BN47" s="22"/>
      <c r="BO47" s="22"/>
      <c r="BP47" s="22"/>
      <c r="BQ47" s="22"/>
      <c r="BT47" s="22">
        <v>1</v>
      </c>
      <c r="BU47" s="22"/>
      <c r="BV47" s="22"/>
      <c r="BW47" s="22"/>
      <c r="BX47" s="22"/>
      <c r="BY47" s="22"/>
      <c r="BZ47" s="22"/>
      <c r="CA47" s="22"/>
      <c r="CB47" s="22"/>
      <c r="CE47" s="22"/>
      <c r="CF47" s="22"/>
      <c r="CG47" s="22"/>
      <c r="CH47" s="22"/>
      <c r="CI47" s="22"/>
      <c r="CJ47" s="22"/>
      <c r="CK47" s="22"/>
      <c r="CL47" s="22"/>
      <c r="CM47" s="22"/>
    </row>
    <row r="48" spans="2:91" x14ac:dyDescent="0.45">
      <c r="B48" s="19"/>
      <c r="C48" s="1" t="s">
        <v>88</v>
      </c>
      <c r="E48" s="36"/>
      <c r="F48" s="16"/>
      <c r="G48" s="36"/>
      <c r="H48" s="36"/>
      <c r="I48" s="16"/>
      <c r="J48" s="43"/>
      <c r="K48" s="43"/>
      <c r="L48" s="32">
        <v>0.25</v>
      </c>
      <c r="M48" s="36"/>
      <c r="N48" s="16"/>
      <c r="O48" s="40"/>
      <c r="Q48" s="22"/>
      <c r="R48" s="22"/>
      <c r="S48" s="22"/>
      <c r="T48" s="22"/>
      <c r="U48" s="22"/>
      <c r="V48" s="22"/>
      <c r="W48" s="22">
        <v>1</v>
      </c>
      <c r="X48" s="22"/>
      <c r="Y48" s="22"/>
      <c r="AB48" s="22"/>
      <c r="AC48" s="22"/>
      <c r="AD48" s="22">
        <v>1</v>
      </c>
      <c r="AE48" s="22"/>
      <c r="AF48" s="22">
        <v>1</v>
      </c>
      <c r="AG48" s="22">
        <v>1</v>
      </c>
      <c r="AH48" s="22"/>
      <c r="AI48" s="22"/>
      <c r="AJ48" s="22"/>
      <c r="AM48" s="22"/>
      <c r="AN48" s="22"/>
      <c r="AO48" s="22"/>
      <c r="AP48" s="22"/>
      <c r="AQ48" s="22"/>
      <c r="AR48" s="22"/>
      <c r="AS48" s="22"/>
      <c r="AT48" s="22"/>
      <c r="AU48" s="22"/>
      <c r="AX48" s="22"/>
      <c r="AY48" s="22"/>
      <c r="AZ48" s="22"/>
      <c r="BA48" s="22"/>
      <c r="BB48" s="22"/>
      <c r="BC48" s="22"/>
      <c r="BD48" s="22"/>
      <c r="BE48" s="22"/>
      <c r="BF48" s="22"/>
      <c r="BI48" s="22"/>
      <c r="BJ48" s="22"/>
      <c r="BK48" s="22"/>
      <c r="BL48" s="22"/>
      <c r="BM48" s="22"/>
      <c r="BN48" s="22"/>
      <c r="BO48" s="22"/>
      <c r="BP48" s="22"/>
      <c r="BQ48" s="22"/>
      <c r="BT48" s="22"/>
      <c r="BU48" s="22"/>
      <c r="BV48" s="22"/>
      <c r="BW48" s="22"/>
      <c r="BX48" s="22">
        <v>1</v>
      </c>
      <c r="BY48" s="22">
        <v>1</v>
      </c>
      <c r="BZ48" s="22"/>
      <c r="CA48" s="22"/>
      <c r="CB48" s="22"/>
      <c r="CE48" s="22"/>
      <c r="CF48" s="22"/>
      <c r="CG48" s="22"/>
      <c r="CH48" s="22"/>
      <c r="CI48" s="22"/>
      <c r="CJ48" s="22"/>
      <c r="CK48" s="22">
        <v>1</v>
      </c>
      <c r="CL48" s="22"/>
      <c r="CM48" s="22"/>
    </row>
    <row r="49" spans="2:91" x14ac:dyDescent="0.45">
      <c r="B49" s="19"/>
      <c r="C49" s="1" t="s">
        <v>82</v>
      </c>
      <c r="E49" s="36"/>
      <c r="F49" s="1">
        <v>0.15</v>
      </c>
      <c r="G49" s="36"/>
      <c r="H49" s="36"/>
      <c r="I49" s="16"/>
      <c r="J49" s="40">
        <v>1</v>
      </c>
      <c r="K49" s="40">
        <f t="shared" ref="K49:K50" si="19">J49*1.15</f>
        <v>1.1499999999999999</v>
      </c>
      <c r="L49" s="36"/>
      <c r="M49" s="32">
        <v>1</v>
      </c>
      <c r="N49" s="16"/>
      <c r="O49" s="40"/>
      <c r="Q49" s="22"/>
      <c r="R49" s="22"/>
      <c r="S49" s="22"/>
      <c r="T49" s="22"/>
      <c r="U49" s="22"/>
      <c r="V49" s="22"/>
      <c r="W49" s="22"/>
      <c r="X49" s="22"/>
      <c r="Y49" s="22"/>
      <c r="AB49" s="22"/>
      <c r="AC49" s="22"/>
      <c r="AD49" s="22">
        <v>1</v>
      </c>
      <c r="AE49" s="22"/>
      <c r="AF49" s="22">
        <v>1</v>
      </c>
      <c r="AG49" s="22">
        <v>1</v>
      </c>
      <c r="AH49" s="22"/>
      <c r="AI49" s="22">
        <v>1</v>
      </c>
      <c r="AJ49" s="22"/>
      <c r="AM49" s="22"/>
      <c r="AN49" s="22"/>
      <c r="AO49" s="22"/>
      <c r="AP49" s="22"/>
      <c r="AQ49" s="22"/>
      <c r="AR49" s="22"/>
      <c r="AS49" s="22"/>
      <c r="AT49" s="22"/>
      <c r="AU49" s="22"/>
      <c r="AX49" s="22"/>
      <c r="AY49" s="22"/>
      <c r="AZ49" s="22"/>
      <c r="BA49" s="22"/>
      <c r="BB49" s="22"/>
      <c r="BC49" s="22"/>
      <c r="BD49" s="22"/>
      <c r="BE49" s="22"/>
      <c r="BF49" s="22"/>
      <c r="BI49" s="22"/>
      <c r="BJ49" s="22"/>
      <c r="BK49" s="22"/>
      <c r="BL49" s="22"/>
      <c r="BM49" s="22"/>
      <c r="BN49" s="22"/>
      <c r="BO49" s="22"/>
      <c r="BP49" s="22"/>
      <c r="BQ49" s="22"/>
      <c r="BT49" s="22"/>
      <c r="BU49" s="22"/>
      <c r="BV49" s="22"/>
      <c r="BW49" s="22"/>
      <c r="BX49" s="22"/>
      <c r="BY49" s="22"/>
      <c r="BZ49" s="22"/>
      <c r="CA49" s="22"/>
      <c r="CB49" s="22"/>
      <c r="CE49" s="22"/>
      <c r="CF49" s="22"/>
      <c r="CG49" s="22"/>
      <c r="CH49" s="22"/>
      <c r="CI49" s="22"/>
      <c r="CJ49" s="22"/>
      <c r="CK49" s="22"/>
      <c r="CL49" s="22"/>
      <c r="CM49" s="22"/>
    </row>
    <row r="50" spans="2:91" x14ac:dyDescent="0.45">
      <c r="B50" s="19"/>
      <c r="C50" s="1" t="s">
        <v>80</v>
      </c>
      <c r="E50" s="36"/>
      <c r="F50" s="16"/>
      <c r="G50" s="36"/>
      <c r="H50" s="36"/>
      <c r="I50" s="16"/>
      <c r="J50" s="40">
        <v>0.25</v>
      </c>
      <c r="K50" s="40">
        <f t="shared" si="19"/>
        <v>0.28749999999999998</v>
      </c>
      <c r="L50" s="36"/>
      <c r="M50" s="36"/>
      <c r="N50" s="16"/>
      <c r="O50" s="40"/>
      <c r="Q50" s="22"/>
      <c r="R50" s="22"/>
      <c r="S50" s="22"/>
      <c r="T50" s="22"/>
      <c r="U50" s="22"/>
      <c r="V50" s="22"/>
      <c r="W50" s="22"/>
      <c r="X50" s="22"/>
      <c r="Y50" s="22"/>
      <c r="AB50" s="22"/>
      <c r="AC50" s="22"/>
      <c r="AD50" s="22"/>
      <c r="AE50" s="22"/>
      <c r="AF50" s="22"/>
      <c r="AG50" s="22"/>
      <c r="AH50" s="22"/>
      <c r="AI50" s="22"/>
      <c r="AJ50" s="22"/>
      <c r="AM50" s="22"/>
      <c r="AN50" s="22"/>
      <c r="AO50" s="22"/>
      <c r="AP50" s="22"/>
      <c r="AQ50" s="22"/>
      <c r="AR50" s="22"/>
      <c r="AS50" s="22"/>
      <c r="AT50" s="22"/>
      <c r="AU50" s="22"/>
      <c r="AX50" s="22"/>
      <c r="AY50" s="22"/>
      <c r="AZ50" s="22"/>
      <c r="BA50" s="22"/>
      <c r="BB50" s="22"/>
      <c r="BC50" s="22"/>
      <c r="BD50" s="22"/>
      <c r="BE50" s="22"/>
      <c r="BF50" s="22"/>
      <c r="BI50" s="22"/>
      <c r="BJ50" s="22"/>
      <c r="BK50" s="22"/>
      <c r="BL50" s="22"/>
      <c r="BM50" s="22"/>
      <c r="BN50" s="22"/>
      <c r="BO50" s="22"/>
      <c r="BP50" s="22"/>
      <c r="BQ50" s="22"/>
      <c r="BT50" s="22"/>
      <c r="BU50" s="22"/>
      <c r="BV50" s="22"/>
      <c r="BW50" s="22"/>
      <c r="BX50" s="22"/>
      <c r="BY50" s="22"/>
      <c r="BZ50" s="22"/>
      <c r="CA50" s="22"/>
      <c r="CB50" s="22"/>
      <c r="CE50" s="22"/>
      <c r="CF50" s="22"/>
      <c r="CG50" s="22"/>
      <c r="CH50" s="22"/>
      <c r="CI50" s="22"/>
      <c r="CJ50" s="22"/>
      <c r="CK50" s="22"/>
      <c r="CL50" s="22"/>
      <c r="CM50" s="22"/>
    </row>
    <row r="51" spans="2:91" x14ac:dyDescent="0.45">
      <c r="B51" s="19"/>
      <c r="C51" s="1" t="s">
        <v>18</v>
      </c>
      <c r="D51" s="1" t="s">
        <v>144</v>
      </c>
      <c r="E51" s="36"/>
      <c r="F51" s="16"/>
      <c r="G51" s="36"/>
      <c r="H51" s="36"/>
      <c r="I51" s="16"/>
      <c r="J51" s="43"/>
      <c r="K51" s="43"/>
      <c r="L51" s="36"/>
      <c r="M51" s="36"/>
      <c r="N51" s="1">
        <v>0.12</v>
      </c>
      <c r="O51" s="40"/>
      <c r="Q51" s="22"/>
      <c r="R51" s="22"/>
      <c r="S51" s="22"/>
      <c r="T51" s="22"/>
      <c r="U51" s="22"/>
      <c r="V51" s="22"/>
      <c r="W51" s="22"/>
      <c r="X51" s="22"/>
      <c r="Y51" s="22"/>
      <c r="AB51" s="22"/>
      <c r="AC51" s="22"/>
      <c r="AD51" s="22"/>
      <c r="AE51" s="22"/>
      <c r="AF51" s="22">
        <v>1</v>
      </c>
      <c r="AG51" s="22"/>
      <c r="AH51" s="22"/>
      <c r="AI51" s="22"/>
      <c r="AJ51" s="22"/>
      <c r="AM51" s="22"/>
      <c r="AN51" s="22"/>
      <c r="AO51" s="22"/>
      <c r="AP51" s="22"/>
      <c r="AQ51" s="22"/>
      <c r="AR51" s="22"/>
      <c r="AS51" s="22"/>
      <c r="AT51" s="22"/>
      <c r="AU51" s="22"/>
      <c r="AX51" s="22"/>
      <c r="AY51" s="22"/>
      <c r="AZ51" s="22"/>
      <c r="BA51" s="22"/>
      <c r="BB51" s="22"/>
      <c r="BC51" s="22"/>
      <c r="BD51" s="22"/>
      <c r="BE51" s="22"/>
      <c r="BF51" s="22"/>
      <c r="BI51" s="22"/>
      <c r="BJ51" s="22"/>
      <c r="BK51" s="22"/>
      <c r="BL51" s="22"/>
      <c r="BM51" s="22"/>
      <c r="BN51" s="22"/>
      <c r="BO51" s="22"/>
      <c r="BP51" s="22"/>
      <c r="BQ51" s="22"/>
      <c r="BT51" s="22"/>
      <c r="BU51" s="22"/>
      <c r="BV51" s="22"/>
      <c r="BW51" s="22"/>
      <c r="BX51" s="22"/>
      <c r="BY51" s="22"/>
      <c r="BZ51" s="22"/>
      <c r="CA51" s="22">
        <v>1</v>
      </c>
      <c r="CB51" s="22"/>
      <c r="CE51" s="22"/>
      <c r="CF51" s="22"/>
      <c r="CG51" s="22"/>
      <c r="CH51" s="22"/>
      <c r="CI51" s="22"/>
      <c r="CJ51" s="22"/>
      <c r="CK51" s="22"/>
      <c r="CL51" s="22"/>
      <c r="CM51" s="22"/>
    </row>
    <row r="52" spans="2:91" x14ac:dyDescent="0.45">
      <c r="B52" s="19"/>
      <c r="D52" s="1" t="s">
        <v>145</v>
      </c>
      <c r="E52" s="36"/>
      <c r="F52" s="16"/>
      <c r="G52" s="36"/>
      <c r="H52" s="36"/>
      <c r="I52" s="16"/>
      <c r="J52" s="43"/>
      <c r="K52" s="43"/>
      <c r="L52" s="36"/>
      <c r="M52" s="36"/>
      <c r="N52" s="1">
        <v>0.25</v>
      </c>
      <c r="O52" s="40">
        <v>0.25</v>
      </c>
      <c r="Q52" s="22"/>
      <c r="R52" s="22"/>
      <c r="S52" s="22"/>
      <c r="T52" s="22"/>
      <c r="U52" s="22"/>
      <c r="V52" s="22"/>
      <c r="W52" s="22"/>
      <c r="X52" s="22">
        <v>1</v>
      </c>
      <c r="Y52" s="22"/>
      <c r="AB52" s="22"/>
      <c r="AC52" s="22"/>
      <c r="AD52" s="22"/>
      <c r="AE52" s="22"/>
      <c r="AF52" s="22"/>
      <c r="AG52" s="22"/>
      <c r="AH52" s="22"/>
      <c r="AI52" s="22">
        <v>1</v>
      </c>
      <c r="AJ52" s="22"/>
      <c r="AM52" s="22"/>
      <c r="AN52" s="22"/>
      <c r="AO52" s="22"/>
      <c r="AP52" s="22"/>
      <c r="AQ52" s="22"/>
      <c r="AR52" s="22"/>
      <c r="AS52" s="22"/>
      <c r="AT52" s="22"/>
      <c r="AU52" s="22">
        <v>1</v>
      </c>
      <c r="AX52" s="22"/>
      <c r="AY52" s="22"/>
      <c r="AZ52" s="22"/>
      <c r="BA52" s="22"/>
      <c r="BB52" s="22"/>
      <c r="BC52" s="22"/>
      <c r="BD52" s="22"/>
      <c r="BE52" s="22"/>
      <c r="BF52" s="22">
        <v>1</v>
      </c>
      <c r="BI52" s="22"/>
      <c r="BJ52" s="22"/>
      <c r="BK52" s="22"/>
      <c r="BL52" s="22"/>
      <c r="BM52" s="22"/>
      <c r="BN52" s="22"/>
      <c r="BO52" s="22"/>
      <c r="BP52" s="22"/>
      <c r="BQ52" s="22">
        <v>1</v>
      </c>
      <c r="BT52" s="22"/>
      <c r="BU52" s="22"/>
      <c r="BV52" s="22"/>
      <c r="BW52" s="22"/>
      <c r="BX52" s="22"/>
      <c r="BY52" s="22"/>
      <c r="BZ52" s="22"/>
      <c r="CA52" s="22"/>
      <c r="CB52" s="22"/>
      <c r="CE52" s="22"/>
      <c r="CF52" s="22"/>
      <c r="CG52" s="22"/>
      <c r="CH52" s="22"/>
      <c r="CI52" s="22"/>
      <c r="CJ52" s="22"/>
      <c r="CK52" s="22"/>
      <c r="CL52" s="22"/>
      <c r="CM52" s="22"/>
    </row>
    <row r="53" spans="2:91" x14ac:dyDescent="0.45">
      <c r="B53" s="19"/>
      <c r="C53" s="1" t="s">
        <v>81</v>
      </c>
      <c r="E53" s="36"/>
      <c r="F53" s="16"/>
      <c r="G53" s="36"/>
      <c r="H53" s="36"/>
      <c r="I53" s="16"/>
      <c r="J53" s="40">
        <v>0.75</v>
      </c>
      <c r="K53" s="40">
        <f>J53*1.15</f>
        <v>0.86249999999999993</v>
      </c>
      <c r="L53" s="36"/>
      <c r="M53" s="32">
        <v>0.1</v>
      </c>
      <c r="N53" s="16"/>
      <c r="O53" s="40"/>
      <c r="Q53" s="22"/>
      <c r="R53" s="22"/>
      <c r="S53" s="22"/>
      <c r="T53" s="22"/>
      <c r="U53" s="22"/>
      <c r="V53" s="22"/>
      <c r="W53" s="22">
        <v>1</v>
      </c>
      <c r="X53" s="22"/>
      <c r="Y53" s="22"/>
      <c r="AB53" s="22"/>
      <c r="AC53" s="22"/>
      <c r="AD53" s="22"/>
      <c r="AE53" s="22"/>
      <c r="AF53" s="22">
        <v>1</v>
      </c>
      <c r="AG53" s="22"/>
      <c r="AH53" s="22"/>
      <c r="AI53" s="22"/>
      <c r="AJ53" s="22"/>
      <c r="AM53" s="22"/>
      <c r="AN53" s="22"/>
      <c r="AO53" s="22"/>
      <c r="AP53" s="22"/>
      <c r="AQ53" s="22"/>
      <c r="AR53" s="22"/>
      <c r="AS53" s="22"/>
      <c r="AT53" s="22"/>
      <c r="AU53" s="22"/>
      <c r="AX53" s="22"/>
      <c r="AY53" s="22"/>
      <c r="AZ53" s="22"/>
      <c r="BA53" s="22"/>
      <c r="BB53" s="22"/>
      <c r="BC53" s="22"/>
      <c r="BD53" s="22"/>
      <c r="BE53" s="22"/>
      <c r="BF53" s="22"/>
      <c r="BI53" s="22"/>
      <c r="BJ53" s="22"/>
      <c r="BK53" s="22"/>
      <c r="BL53" s="22"/>
      <c r="BM53" s="22"/>
      <c r="BN53" s="22"/>
      <c r="BO53" s="22"/>
      <c r="BP53" s="22"/>
      <c r="BQ53" s="22"/>
      <c r="BT53" s="22"/>
      <c r="BU53" s="22"/>
      <c r="BV53" s="22"/>
      <c r="BW53" s="22"/>
      <c r="BX53" s="22"/>
      <c r="BY53" s="22"/>
      <c r="BZ53" s="22"/>
      <c r="CA53" s="22"/>
      <c r="CB53" s="22"/>
      <c r="CE53" s="22"/>
      <c r="CF53" s="22"/>
      <c r="CG53" s="22"/>
      <c r="CH53" s="22"/>
      <c r="CI53" s="22"/>
      <c r="CJ53" s="22"/>
      <c r="CK53" s="22">
        <v>1</v>
      </c>
      <c r="CL53" s="22"/>
      <c r="CM53" s="22"/>
    </row>
    <row r="54" spans="2:91" x14ac:dyDescent="0.45">
      <c r="B54" s="19"/>
      <c r="C54" s="1" t="s">
        <v>89</v>
      </c>
      <c r="E54" s="36"/>
      <c r="F54" s="16"/>
      <c r="G54" s="36"/>
      <c r="H54" s="36"/>
      <c r="I54" s="16"/>
      <c r="J54" s="43"/>
      <c r="K54" s="43"/>
      <c r="L54" s="36"/>
      <c r="M54" s="32">
        <v>0.1</v>
      </c>
      <c r="N54" s="16"/>
      <c r="O54" s="40"/>
      <c r="Q54" s="22"/>
      <c r="R54" s="22"/>
      <c r="S54" s="22"/>
      <c r="T54" s="22"/>
      <c r="U54" s="22"/>
      <c r="V54" s="22"/>
      <c r="W54" s="22"/>
      <c r="X54" s="22"/>
      <c r="Y54" s="22"/>
      <c r="AB54" s="22"/>
      <c r="AC54" s="22"/>
      <c r="AD54" s="22"/>
      <c r="AE54" s="22"/>
      <c r="AF54" s="22">
        <v>1</v>
      </c>
      <c r="AG54" s="22"/>
      <c r="AH54" s="22"/>
      <c r="AI54" s="22"/>
      <c r="AJ54" s="22"/>
      <c r="AM54" s="22"/>
      <c r="AN54" s="22"/>
      <c r="AO54" s="22"/>
      <c r="AP54" s="22"/>
      <c r="AQ54" s="22"/>
      <c r="AR54" s="22"/>
      <c r="AS54" s="22"/>
      <c r="AT54" s="22"/>
      <c r="AU54" s="22"/>
      <c r="AX54" s="22"/>
      <c r="AY54" s="22"/>
      <c r="AZ54" s="22"/>
      <c r="BA54" s="22"/>
      <c r="BB54" s="22"/>
      <c r="BC54" s="22"/>
      <c r="BD54" s="22"/>
      <c r="BE54" s="22"/>
      <c r="BF54" s="22"/>
      <c r="BI54" s="22"/>
      <c r="BJ54" s="22"/>
      <c r="BK54" s="22"/>
      <c r="BL54" s="22"/>
      <c r="BM54" s="22"/>
      <c r="BN54" s="22"/>
      <c r="BO54" s="22"/>
      <c r="BP54" s="22"/>
      <c r="BQ54" s="22"/>
      <c r="BT54" s="22"/>
      <c r="BU54" s="22"/>
      <c r="BV54" s="22"/>
      <c r="BW54" s="22"/>
      <c r="BX54" s="22"/>
      <c r="BY54" s="22"/>
      <c r="BZ54" s="22"/>
      <c r="CA54" s="22"/>
      <c r="CB54" s="22"/>
      <c r="CE54" s="22"/>
      <c r="CF54" s="22"/>
      <c r="CG54" s="22"/>
      <c r="CH54" s="22"/>
      <c r="CI54" s="22"/>
      <c r="CJ54" s="22"/>
      <c r="CK54" s="22">
        <v>1</v>
      </c>
      <c r="CL54" s="22"/>
      <c r="CM54" s="22"/>
    </row>
    <row r="55" spans="2:91" x14ac:dyDescent="0.45">
      <c r="B55" s="19"/>
      <c r="C55" s="1" t="s">
        <v>127</v>
      </c>
      <c r="E55" s="36"/>
      <c r="F55" s="16"/>
      <c r="G55" s="48"/>
      <c r="H55" s="48"/>
      <c r="I55" s="16"/>
      <c r="J55" s="43"/>
      <c r="K55" s="43"/>
      <c r="L55" s="36"/>
      <c r="M55" s="36"/>
      <c r="N55" s="16"/>
      <c r="O55" s="40"/>
      <c r="Q55" s="22"/>
      <c r="R55" s="22"/>
      <c r="S55" s="22"/>
      <c r="T55" s="22"/>
      <c r="U55" s="22"/>
      <c r="V55" s="22"/>
      <c r="W55" s="22"/>
      <c r="X55" s="22"/>
      <c r="Y55" s="22"/>
      <c r="AB55" s="22"/>
      <c r="AC55" s="22"/>
      <c r="AD55" s="22"/>
      <c r="AE55" s="22"/>
      <c r="AF55" s="22"/>
      <c r="AG55" s="22"/>
      <c r="AH55" s="22"/>
      <c r="AI55" s="22"/>
      <c r="AJ55" s="22"/>
      <c r="AM55" s="22"/>
      <c r="AN55" s="22"/>
      <c r="AO55" s="22"/>
      <c r="AP55" s="22"/>
      <c r="AQ55" s="22"/>
      <c r="AR55" s="22"/>
      <c r="AS55" s="22"/>
      <c r="AT55" s="22"/>
      <c r="AU55" s="22"/>
      <c r="AX55" s="22"/>
      <c r="AY55" s="22"/>
      <c r="AZ55" s="22"/>
      <c r="BA55" s="22"/>
      <c r="BB55" s="22"/>
      <c r="BC55" s="22"/>
      <c r="BD55" s="22"/>
      <c r="BE55" s="22"/>
      <c r="BF55" s="22"/>
      <c r="BI55" s="22"/>
      <c r="BJ55" s="22"/>
      <c r="BK55" s="22"/>
      <c r="BL55" s="22"/>
      <c r="BM55" s="22"/>
      <c r="BN55" s="22"/>
      <c r="BO55" s="22"/>
      <c r="BP55" s="22"/>
      <c r="BQ55" s="22"/>
      <c r="BT55" s="22">
        <v>1</v>
      </c>
      <c r="BU55" s="22"/>
      <c r="BV55" s="22"/>
      <c r="BW55" s="22"/>
      <c r="BX55" s="22"/>
      <c r="BY55" s="22"/>
      <c r="BZ55" s="22"/>
      <c r="CA55" s="22"/>
      <c r="CB55" s="22"/>
      <c r="CE55" s="22"/>
      <c r="CF55" s="22"/>
      <c r="CG55" s="22"/>
      <c r="CH55" s="22"/>
      <c r="CI55" s="22"/>
      <c r="CJ55" s="22"/>
      <c r="CK55" s="22"/>
      <c r="CL55" s="22"/>
      <c r="CM55" s="22"/>
    </row>
    <row r="56" spans="2:91" x14ac:dyDescent="0.45">
      <c r="C56" s="40" t="s">
        <v>11</v>
      </c>
      <c r="E56" s="32">
        <v>0.1</v>
      </c>
      <c r="G56" s="32"/>
      <c r="H56" s="32"/>
      <c r="J56" s="40"/>
      <c r="K56" s="40"/>
      <c r="L56" s="32"/>
      <c r="M56" s="32"/>
      <c r="O56" s="40"/>
      <c r="Q56" s="22">
        <v>1</v>
      </c>
      <c r="R56" s="22"/>
      <c r="S56" s="22"/>
      <c r="T56" s="22"/>
      <c r="U56" s="22"/>
      <c r="V56" s="22"/>
      <c r="W56" s="22"/>
      <c r="X56" s="22"/>
      <c r="Y56" s="22"/>
      <c r="AB56" s="22">
        <v>1</v>
      </c>
      <c r="AC56" s="22"/>
      <c r="AD56" s="22"/>
      <c r="AE56" s="22"/>
      <c r="AF56" s="22"/>
      <c r="AG56" s="22"/>
      <c r="AH56" s="22"/>
      <c r="AI56" s="22"/>
      <c r="AJ56" s="22"/>
      <c r="AM56" s="22"/>
      <c r="AN56" s="22"/>
      <c r="AO56" s="22"/>
      <c r="AP56" s="22"/>
      <c r="AQ56" s="22"/>
      <c r="AR56" s="22"/>
      <c r="AS56" s="22"/>
      <c r="AT56" s="22"/>
      <c r="AU56" s="22"/>
      <c r="AX56" s="22"/>
      <c r="AY56" s="22"/>
      <c r="AZ56" s="22"/>
      <c r="BA56" s="22"/>
      <c r="BB56" s="22"/>
      <c r="BC56" s="22"/>
      <c r="BD56" s="22"/>
      <c r="BE56" s="22"/>
      <c r="BF56" s="22"/>
      <c r="BI56" s="22"/>
      <c r="BJ56" s="22"/>
      <c r="BK56" s="22"/>
      <c r="BL56" s="22"/>
      <c r="BM56" s="22"/>
      <c r="BN56" s="22"/>
      <c r="BO56" s="22"/>
      <c r="BP56" s="22"/>
      <c r="BQ56" s="22"/>
      <c r="BT56" s="22">
        <v>1</v>
      </c>
      <c r="BU56" s="22"/>
      <c r="BV56" s="22"/>
      <c r="BW56" s="22"/>
      <c r="BX56" s="22"/>
      <c r="BY56" s="22"/>
      <c r="BZ56" s="22"/>
      <c r="CA56" s="22"/>
      <c r="CB56" s="22"/>
      <c r="CE56" s="22"/>
      <c r="CF56" s="22"/>
      <c r="CG56" s="22"/>
      <c r="CH56" s="22"/>
      <c r="CI56" s="22"/>
      <c r="CJ56" s="22"/>
      <c r="CK56" s="22"/>
      <c r="CL56" s="22"/>
      <c r="CM56" s="22"/>
    </row>
    <row r="57" spans="2:91" x14ac:dyDescent="0.45">
      <c r="B57" s="19"/>
      <c r="C57" s="1" t="s">
        <v>77</v>
      </c>
      <c r="E57" s="32">
        <v>0.05</v>
      </c>
      <c r="G57" s="32"/>
      <c r="H57" s="32"/>
      <c r="J57" s="40"/>
      <c r="K57" s="40"/>
      <c r="L57" s="32"/>
      <c r="M57" s="32"/>
      <c r="O57" s="40"/>
      <c r="Q57" s="22"/>
      <c r="R57" s="22"/>
      <c r="S57" s="22"/>
      <c r="T57" s="22"/>
      <c r="U57" s="22"/>
      <c r="V57" s="22"/>
      <c r="W57" s="22"/>
      <c r="X57" s="22"/>
      <c r="Y57" s="22"/>
      <c r="AB57" s="22"/>
      <c r="AC57" s="22"/>
      <c r="AD57" s="22"/>
      <c r="AE57" s="22"/>
      <c r="AF57" s="22"/>
      <c r="AG57" s="22"/>
      <c r="AH57" s="22"/>
      <c r="AI57" s="22"/>
      <c r="AJ57" s="22"/>
      <c r="AM57" s="22"/>
      <c r="AN57" s="22"/>
      <c r="AO57" s="22"/>
      <c r="AP57" s="22"/>
      <c r="AQ57" s="22"/>
      <c r="AR57" s="22"/>
      <c r="AS57" s="22"/>
      <c r="AT57" s="22"/>
      <c r="AU57" s="22"/>
      <c r="AX57" s="22"/>
      <c r="AY57" s="22"/>
      <c r="AZ57" s="22"/>
      <c r="BA57" s="22"/>
      <c r="BB57" s="22"/>
      <c r="BC57" s="22"/>
      <c r="BD57" s="22"/>
      <c r="BE57" s="22"/>
      <c r="BF57" s="22"/>
      <c r="BI57" s="22"/>
      <c r="BJ57" s="22"/>
      <c r="BK57" s="22"/>
      <c r="BL57" s="22"/>
      <c r="BM57" s="22"/>
      <c r="BN57" s="22"/>
      <c r="BO57" s="22"/>
      <c r="BP57" s="22"/>
      <c r="BQ57" s="22"/>
      <c r="BT57" s="22"/>
      <c r="BU57" s="22"/>
      <c r="BV57" s="22"/>
      <c r="BW57" s="22"/>
      <c r="BX57" s="22"/>
      <c r="BY57" s="22"/>
      <c r="BZ57" s="22"/>
      <c r="CA57" s="22"/>
      <c r="CB57" s="22"/>
      <c r="CE57" s="22"/>
      <c r="CF57" s="22"/>
      <c r="CG57" s="22"/>
      <c r="CH57" s="22"/>
      <c r="CI57" s="22"/>
      <c r="CJ57" s="22"/>
      <c r="CK57" s="22"/>
      <c r="CL57" s="22"/>
      <c r="CM57" s="22"/>
    </row>
    <row r="58" spans="2:91" x14ac:dyDescent="0.45">
      <c r="B58" s="19"/>
      <c r="C58" s="1" t="s">
        <v>78</v>
      </c>
      <c r="E58" s="32">
        <v>0.05</v>
      </c>
      <c r="G58" s="32"/>
      <c r="H58" s="32"/>
      <c r="J58" s="40"/>
      <c r="K58" s="40"/>
      <c r="L58" s="32"/>
      <c r="M58" s="32"/>
      <c r="O58" s="40"/>
      <c r="Q58" s="22">
        <v>1</v>
      </c>
      <c r="R58" s="22"/>
      <c r="S58" s="22"/>
      <c r="T58" s="22"/>
      <c r="U58" s="22"/>
      <c r="V58" s="22"/>
      <c r="W58" s="22"/>
      <c r="X58" s="22"/>
      <c r="Y58" s="22"/>
      <c r="AB58" s="22">
        <v>1</v>
      </c>
      <c r="AC58" s="22"/>
      <c r="AD58" s="22"/>
      <c r="AE58" s="22"/>
      <c r="AF58" s="22"/>
      <c r="AG58" s="22"/>
      <c r="AH58" s="22"/>
      <c r="AI58" s="22"/>
      <c r="AJ58" s="22"/>
      <c r="AM58" s="22"/>
      <c r="AN58" s="22"/>
      <c r="AO58" s="22"/>
      <c r="AP58" s="22"/>
      <c r="AQ58" s="22"/>
      <c r="AR58" s="22"/>
      <c r="AS58" s="22"/>
      <c r="AT58" s="22"/>
      <c r="AU58" s="22"/>
      <c r="AX58" s="22"/>
      <c r="AY58" s="22"/>
      <c r="AZ58" s="22"/>
      <c r="BA58" s="22"/>
      <c r="BB58" s="22"/>
      <c r="BC58" s="22"/>
      <c r="BD58" s="22"/>
      <c r="BE58" s="22"/>
      <c r="BF58" s="22"/>
      <c r="BI58" s="22"/>
      <c r="BJ58" s="22"/>
      <c r="BK58" s="22"/>
      <c r="BL58" s="22"/>
      <c r="BM58" s="22"/>
      <c r="BN58" s="22"/>
      <c r="BO58" s="22"/>
      <c r="BP58" s="22"/>
      <c r="BQ58" s="22"/>
      <c r="BT58" s="22"/>
      <c r="BU58" s="22"/>
      <c r="BV58" s="22"/>
      <c r="BW58" s="22"/>
      <c r="BX58" s="22"/>
      <c r="BY58" s="22"/>
      <c r="BZ58" s="22"/>
      <c r="CA58" s="22"/>
      <c r="CB58" s="22"/>
      <c r="CE58" s="22"/>
      <c r="CF58" s="22"/>
      <c r="CG58" s="22"/>
      <c r="CH58" s="22"/>
      <c r="CI58" s="22"/>
      <c r="CJ58" s="22"/>
      <c r="CK58" s="22"/>
      <c r="CL58" s="22"/>
      <c r="CM58" s="22"/>
    </row>
    <row r="59" spans="2:91" x14ac:dyDescent="0.45">
      <c r="B59" s="19"/>
      <c r="C59" s="1" t="s">
        <v>113</v>
      </c>
      <c r="E59" s="32"/>
      <c r="G59" s="32">
        <v>0.5</v>
      </c>
      <c r="H59" s="32">
        <v>1.5</v>
      </c>
      <c r="J59" s="40"/>
      <c r="K59" s="40"/>
      <c r="L59" s="32"/>
      <c r="M59" s="32"/>
      <c r="O59" s="40"/>
      <c r="Q59" s="22"/>
      <c r="R59" s="22"/>
      <c r="S59" s="22">
        <v>1</v>
      </c>
      <c r="T59" s="22"/>
      <c r="U59" s="22"/>
      <c r="V59" s="22"/>
      <c r="W59" s="22"/>
      <c r="X59" s="22"/>
      <c r="Y59" s="22"/>
      <c r="AB59" s="22"/>
      <c r="AC59" s="22"/>
      <c r="AD59" s="22"/>
      <c r="AE59" s="22"/>
      <c r="AF59" s="22"/>
      <c r="AG59" s="22"/>
      <c r="AH59" s="22"/>
      <c r="AI59" s="22"/>
      <c r="AJ59" s="22"/>
      <c r="AM59" s="22"/>
      <c r="AN59" s="22"/>
      <c r="AO59" s="22"/>
      <c r="AP59" s="22"/>
      <c r="AQ59" s="22"/>
      <c r="AR59" s="22"/>
      <c r="AS59" s="22"/>
      <c r="AT59" s="22"/>
      <c r="AU59" s="22"/>
      <c r="AX59" s="22"/>
      <c r="AY59" s="22"/>
      <c r="AZ59" s="22"/>
      <c r="BA59" s="22"/>
      <c r="BB59" s="22"/>
      <c r="BC59" s="22"/>
      <c r="BD59" s="22"/>
      <c r="BE59" s="22"/>
      <c r="BF59" s="22"/>
      <c r="BI59" s="22"/>
      <c r="BJ59" s="22"/>
      <c r="BK59" s="22"/>
      <c r="BL59" s="22"/>
      <c r="BM59" s="22"/>
      <c r="BN59" s="22"/>
      <c r="BO59" s="22"/>
      <c r="BP59" s="22"/>
      <c r="BQ59" s="22"/>
      <c r="BT59" s="22"/>
      <c r="BU59" s="22"/>
      <c r="BV59" s="22"/>
      <c r="BW59" s="22"/>
      <c r="BX59" s="22"/>
      <c r="BY59" s="22"/>
      <c r="BZ59" s="22"/>
      <c r="CA59" s="22"/>
      <c r="CB59" s="22"/>
      <c r="CE59" s="22"/>
      <c r="CF59" s="22"/>
      <c r="CG59" s="22"/>
      <c r="CH59" s="22"/>
      <c r="CI59" s="22"/>
      <c r="CJ59" s="22"/>
      <c r="CK59" s="22"/>
      <c r="CL59" s="22"/>
      <c r="CM59" s="22"/>
    </row>
    <row r="60" spans="2:91" x14ac:dyDescent="0.45">
      <c r="B60" s="19"/>
      <c r="C60" s="1" t="s">
        <v>126</v>
      </c>
      <c r="E60" s="32"/>
      <c r="G60" s="32"/>
      <c r="H60" s="32"/>
      <c r="J60" s="40"/>
      <c r="K60" s="40"/>
      <c r="L60" s="32"/>
      <c r="M60" s="32"/>
      <c r="N60" s="1">
        <v>0.12</v>
      </c>
      <c r="O60" s="40"/>
      <c r="Q60" s="22"/>
      <c r="R60" s="22"/>
      <c r="S60" s="22"/>
      <c r="T60" s="22"/>
      <c r="U60" s="22"/>
      <c r="V60" s="22"/>
      <c r="W60" s="22"/>
      <c r="X60" s="22"/>
      <c r="Y60" s="22"/>
      <c r="AB60" s="22"/>
      <c r="AC60" s="22"/>
      <c r="AD60" s="22"/>
      <c r="AE60" s="22"/>
      <c r="AF60" s="22"/>
      <c r="AG60" s="22"/>
      <c r="AH60" s="22"/>
      <c r="AI60" s="22"/>
      <c r="AJ60" s="22"/>
      <c r="AM60" s="22"/>
      <c r="AN60" s="22"/>
      <c r="AO60" s="22"/>
      <c r="AP60" s="22"/>
      <c r="AQ60" s="22"/>
      <c r="AR60" s="22"/>
      <c r="AS60" s="22"/>
      <c r="AT60" s="22"/>
      <c r="AU60" s="22"/>
      <c r="AX60" s="22"/>
      <c r="AY60" s="22"/>
      <c r="AZ60" s="22"/>
      <c r="BA60" s="22"/>
      <c r="BB60" s="22"/>
      <c r="BC60" s="22"/>
      <c r="BD60" s="22"/>
      <c r="BE60" s="22"/>
      <c r="BF60" s="22"/>
      <c r="BI60" s="22"/>
      <c r="BJ60" s="22"/>
      <c r="BK60" s="22"/>
      <c r="BL60" s="22"/>
      <c r="BM60" s="22"/>
      <c r="BN60" s="22"/>
      <c r="BO60" s="22"/>
      <c r="BP60" s="22"/>
      <c r="BQ60" s="22"/>
      <c r="BT60" s="22"/>
      <c r="BU60" s="22"/>
      <c r="BV60" s="22"/>
      <c r="BW60" s="22"/>
      <c r="BX60" s="22"/>
      <c r="BY60" s="22"/>
      <c r="BZ60" s="22"/>
      <c r="CA60" s="22">
        <v>1</v>
      </c>
      <c r="CB60" s="22"/>
      <c r="CE60" s="22"/>
      <c r="CF60" s="22"/>
      <c r="CG60" s="22"/>
      <c r="CH60" s="22"/>
      <c r="CI60" s="22"/>
      <c r="CJ60" s="22"/>
      <c r="CK60" s="22"/>
      <c r="CL60" s="22"/>
      <c r="CM60" s="22"/>
    </row>
    <row r="61" spans="2:91" x14ac:dyDescent="0.45">
      <c r="B61" s="19"/>
      <c r="C61" s="1" t="s">
        <v>123</v>
      </c>
      <c r="E61" s="32"/>
      <c r="G61" s="32"/>
      <c r="H61" s="32"/>
      <c r="J61" s="40"/>
      <c r="K61" s="40"/>
      <c r="L61" s="32"/>
      <c r="M61" s="32"/>
      <c r="O61" s="40">
        <v>0.25</v>
      </c>
      <c r="Q61" s="22"/>
      <c r="R61" s="22"/>
      <c r="S61" s="22"/>
      <c r="T61" s="22"/>
      <c r="U61" s="22"/>
      <c r="V61" s="22"/>
      <c r="W61" s="22"/>
      <c r="X61" s="22"/>
      <c r="Y61" s="22"/>
      <c r="AB61" s="22"/>
      <c r="AC61" s="22"/>
      <c r="AD61" s="22"/>
      <c r="AE61" s="22"/>
      <c r="AF61" s="22"/>
      <c r="AG61" s="22"/>
      <c r="AH61" s="22"/>
      <c r="AI61" s="22"/>
      <c r="AJ61" s="22"/>
      <c r="AM61" s="22"/>
      <c r="AN61" s="22"/>
      <c r="AO61" s="22"/>
      <c r="AP61" s="22"/>
      <c r="AQ61" s="22"/>
      <c r="AR61" s="22"/>
      <c r="AS61" s="22"/>
      <c r="AT61" s="22"/>
      <c r="AU61" s="22">
        <v>1</v>
      </c>
      <c r="AX61" s="22"/>
      <c r="AY61" s="22"/>
      <c r="AZ61" s="22"/>
      <c r="BA61" s="22"/>
      <c r="BB61" s="22"/>
      <c r="BC61" s="22"/>
      <c r="BD61" s="22"/>
      <c r="BE61" s="22"/>
      <c r="BF61" s="22"/>
      <c r="BI61" s="22"/>
      <c r="BJ61" s="22"/>
      <c r="BK61" s="22"/>
      <c r="BL61" s="22"/>
      <c r="BM61" s="22"/>
      <c r="BN61" s="22"/>
      <c r="BO61" s="22"/>
      <c r="BP61" s="22"/>
      <c r="BQ61" s="22"/>
      <c r="BT61" s="22"/>
      <c r="BU61" s="22"/>
      <c r="BV61" s="22"/>
      <c r="BW61" s="22"/>
      <c r="BX61" s="22"/>
      <c r="BY61" s="22"/>
      <c r="BZ61" s="22"/>
      <c r="CA61" s="22"/>
      <c r="CB61" s="22"/>
      <c r="CE61" s="22"/>
      <c r="CF61" s="22"/>
      <c r="CG61" s="22"/>
      <c r="CH61" s="22"/>
      <c r="CI61" s="22"/>
      <c r="CJ61" s="22"/>
      <c r="CK61" s="22"/>
      <c r="CL61" s="22"/>
      <c r="CM61" s="22"/>
    </row>
    <row r="62" spans="2:91" x14ac:dyDescent="0.45">
      <c r="C62" s="40" t="s">
        <v>136</v>
      </c>
      <c r="D62" s="49" t="s">
        <v>137</v>
      </c>
      <c r="E62" s="32"/>
      <c r="F62" s="1">
        <v>0.1</v>
      </c>
      <c r="G62" s="32"/>
      <c r="H62" s="32"/>
      <c r="J62" s="40"/>
      <c r="K62" s="40"/>
      <c r="L62" s="32"/>
      <c r="M62" s="32"/>
      <c r="O62" s="40"/>
      <c r="Q62" s="22"/>
      <c r="R62" s="22"/>
      <c r="S62" s="22"/>
      <c r="T62" s="22"/>
      <c r="U62" s="22"/>
      <c r="V62" s="22"/>
      <c r="W62" s="22"/>
      <c r="X62" s="22"/>
      <c r="Y62" s="22"/>
      <c r="AB62" s="22"/>
      <c r="AC62" s="22"/>
      <c r="AD62" s="22"/>
      <c r="AE62" s="22"/>
      <c r="AF62" s="22"/>
      <c r="AG62" s="22"/>
      <c r="AH62" s="22"/>
      <c r="AI62" s="22"/>
      <c r="AJ62" s="22"/>
      <c r="AM62" s="22"/>
      <c r="AN62" s="22"/>
      <c r="AO62" s="22"/>
      <c r="AP62" s="22"/>
      <c r="AQ62" s="22"/>
      <c r="AR62" s="22"/>
      <c r="AS62" s="22"/>
      <c r="AT62" s="22"/>
      <c r="AU62" s="22"/>
      <c r="AX62" s="22"/>
      <c r="AY62" s="22"/>
      <c r="AZ62" s="22"/>
      <c r="BA62" s="22"/>
      <c r="BB62" s="22"/>
      <c r="BC62" s="22"/>
      <c r="BD62" s="22"/>
      <c r="BE62" s="22"/>
      <c r="BF62" s="22"/>
      <c r="BI62" s="22"/>
      <c r="BJ62" s="22"/>
      <c r="BK62" s="22"/>
      <c r="BL62" s="22"/>
      <c r="BM62" s="22"/>
      <c r="BN62" s="22"/>
      <c r="BO62" s="22"/>
      <c r="BP62" s="22"/>
      <c r="BQ62" s="22"/>
      <c r="BT62" s="22"/>
      <c r="BU62" s="22">
        <v>1</v>
      </c>
      <c r="BV62" s="22"/>
      <c r="BW62" s="22"/>
      <c r="BX62" s="22"/>
      <c r="BY62" s="22"/>
      <c r="BZ62" s="22"/>
      <c r="CA62" s="22"/>
      <c r="CB62" s="22"/>
      <c r="CE62" s="22"/>
      <c r="CF62" s="22"/>
      <c r="CG62" s="22"/>
      <c r="CH62" s="22"/>
      <c r="CI62" s="22"/>
      <c r="CJ62" s="22"/>
      <c r="CK62" s="22"/>
      <c r="CL62" s="22"/>
      <c r="CM62" s="22"/>
    </row>
    <row r="63" spans="2:91" x14ac:dyDescent="0.45">
      <c r="B63" s="20"/>
      <c r="C63" s="12" t="s">
        <v>110</v>
      </c>
      <c r="D63" s="12"/>
      <c r="E63" s="33"/>
      <c r="F63" s="12"/>
      <c r="G63" s="33"/>
      <c r="H63" s="33"/>
      <c r="I63" s="12"/>
      <c r="J63" s="29"/>
      <c r="K63" s="29"/>
      <c r="L63" s="33"/>
      <c r="M63" s="33"/>
      <c r="N63" s="12">
        <v>0.12</v>
      </c>
      <c r="O63" s="29">
        <v>0.12</v>
      </c>
      <c r="P63" s="12"/>
      <c r="Q63" s="24"/>
      <c r="R63" s="24"/>
      <c r="S63" s="24"/>
      <c r="T63" s="24"/>
      <c r="U63" s="24"/>
      <c r="V63" s="24"/>
      <c r="W63" s="24"/>
      <c r="X63" s="24"/>
      <c r="Y63" s="24"/>
      <c r="Z63" s="12"/>
      <c r="AA63" s="12"/>
      <c r="AB63" s="24"/>
      <c r="AC63" s="24"/>
      <c r="AD63" s="24"/>
      <c r="AE63" s="24"/>
      <c r="AF63" s="24"/>
      <c r="AG63" s="24"/>
      <c r="AH63" s="24"/>
      <c r="AI63" s="24">
        <v>1</v>
      </c>
      <c r="AJ63" s="24"/>
      <c r="AK63" s="12"/>
      <c r="AL63" s="12"/>
      <c r="AM63" s="24"/>
      <c r="AN63" s="24"/>
      <c r="AO63" s="24"/>
      <c r="AP63" s="24"/>
      <c r="AQ63" s="24"/>
      <c r="AR63" s="24"/>
      <c r="AS63" s="24"/>
      <c r="AT63" s="24"/>
      <c r="AU63" s="24">
        <v>1</v>
      </c>
      <c r="AV63" s="12"/>
      <c r="AW63" s="12"/>
      <c r="AX63" s="24"/>
      <c r="AY63" s="24"/>
      <c r="AZ63" s="24"/>
      <c r="BA63" s="24"/>
      <c r="BB63" s="24"/>
      <c r="BC63" s="24"/>
      <c r="BD63" s="24"/>
      <c r="BE63" s="24"/>
      <c r="BF63" s="24"/>
      <c r="BG63" s="12"/>
      <c r="BH63" s="12"/>
      <c r="BI63" s="24"/>
      <c r="BJ63" s="24"/>
      <c r="BK63" s="24"/>
      <c r="BL63" s="24"/>
      <c r="BM63" s="24"/>
      <c r="BN63" s="24"/>
      <c r="BO63" s="24"/>
      <c r="BP63" s="24"/>
      <c r="BQ63" s="24">
        <v>1</v>
      </c>
      <c r="BR63" s="12"/>
      <c r="BS63" s="12"/>
      <c r="BT63" s="24"/>
      <c r="BU63" s="24"/>
      <c r="BV63" s="24"/>
      <c r="BW63" s="24"/>
      <c r="BX63" s="24"/>
      <c r="BY63" s="24"/>
      <c r="BZ63" s="24"/>
      <c r="CA63" s="24">
        <v>1</v>
      </c>
      <c r="CB63" s="24"/>
      <c r="CC63" s="12"/>
      <c r="CD63" s="12"/>
      <c r="CE63" s="24"/>
      <c r="CF63" s="24"/>
      <c r="CG63" s="24"/>
      <c r="CH63" s="24"/>
      <c r="CI63" s="24"/>
      <c r="CJ63" s="24"/>
      <c r="CK63" s="24"/>
      <c r="CL63" s="24"/>
      <c r="CM63" s="24"/>
    </row>
    <row r="64" spans="2:91" x14ac:dyDescent="0.45">
      <c r="B64" s="19" t="s">
        <v>147</v>
      </c>
      <c r="C64" s="1" t="s">
        <v>83</v>
      </c>
      <c r="E64" s="32">
        <v>0.25</v>
      </c>
      <c r="G64" s="32">
        <v>0.25</v>
      </c>
      <c r="H64" s="32">
        <v>0.25</v>
      </c>
      <c r="I64" s="1">
        <v>0.25</v>
      </c>
      <c r="J64" s="40">
        <v>0.25</v>
      </c>
      <c r="K64" s="40">
        <f>J64*1.15</f>
        <v>0.28749999999999998</v>
      </c>
      <c r="L64" s="32">
        <v>0.25</v>
      </c>
      <c r="M64" s="32">
        <v>0.25</v>
      </c>
      <c r="N64" s="1">
        <v>0.25</v>
      </c>
      <c r="O64" s="40">
        <v>0.5</v>
      </c>
      <c r="Q64" s="22"/>
      <c r="R64" s="22"/>
      <c r="S64" s="22"/>
      <c r="T64" s="22"/>
      <c r="U64" s="22"/>
      <c r="V64" s="22"/>
      <c r="W64" s="22">
        <v>1</v>
      </c>
      <c r="X64" s="22">
        <v>1</v>
      </c>
      <c r="Y64" s="22"/>
      <c r="AB64" s="22"/>
      <c r="AC64" s="22"/>
      <c r="AD64" s="22">
        <v>1</v>
      </c>
      <c r="AE64" s="22">
        <v>1</v>
      </c>
      <c r="AF64" s="22">
        <v>1</v>
      </c>
      <c r="AG64" s="22">
        <v>1</v>
      </c>
      <c r="AH64" s="22"/>
      <c r="AI64" s="22">
        <v>1</v>
      </c>
      <c r="AJ64" s="22"/>
      <c r="AM64" s="22"/>
      <c r="AN64" s="22"/>
      <c r="AO64" s="22"/>
      <c r="AP64" s="22"/>
      <c r="AQ64" s="22"/>
      <c r="AR64" s="22"/>
      <c r="AS64" s="22"/>
      <c r="AT64" s="22"/>
      <c r="AU64" s="22">
        <v>1</v>
      </c>
      <c r="AX64" s="22"/>
      <c r="AY64" s="22"/>
      <c r="AZ64" s="22"/>
      <c r="BA64" s="22"/>
      <c r="BB64" s="22"/>
      <c r="BC64" s="22"/>
      <c r="BD64" s="22"/>
      <c r="BE64" s="22"/>
      <c r="BF64" s="22">
        <v>1</v>
      </c>
      <c r="BI64" s="22"/>
      <c r="BJ64" s="22"/>
      <c r="BK64" s="22"/>
      <c r="BL64" s="22"/>
      <c r="BM64" s="22"/>
      <c r="BN64" s="22"/>
      <c r="BO64" s="22"/>
      <c r="BP64" s="22"/>
      <c r="BQ64" s="22">
        <v>1</v>
      </c>
      <c r="BT64" s="22"/>
      <c r="BU64" s="22"/>
      <c r="BV64" s="22"/>
      <c r="BW64" s="22"/>
      <c r="BX64" s="22">
        <v>1</v>
      </c>
      <c r="BY64" s="22">
        <v>1</v>
      </c>
      <c r="BZ64" s="22"/>
      <c r="CA64" s="22">
        <v>1</v>
      </c>
      <c r="CB64" s="22"/>
      <c r="CE64" s="22"/>
      <c r="CF64" s="22"/>
      <c r="CG64" s="22"/>
      <c r="CH64" s="22"/>
      <c r="CI64" s="22"/>
      <c r="CJ64" s="22"/>
      <c r="CK64" s="22">
        <v>1</v>
      </c>
      <c r="CL64" s="22"/>
      <c r="CM64" s="22"/>
    </row>
    <row r="65" spans="1:91" x14ac:dyDescent="0.45">
      <c r="C65" s="40" t="s">
        <v>121</v>
      </c>
      <c r="E65" s="32"/>
      <c r="G65" s="32"/>
      <c r="H65" s="32"/>
      <c r="J65" s="40"/>
      <c r="K65" s="40"/>
      <c r="L65" s="32"/>
      <c r="M65" s="32"/>
      <c r="N65" s="1">
        <v>0.12</v>
      </c>
      <c r="O65" s="40">
        <v>0.12</v>
      </c>
      <c r="Q65" s="22"/>
      <c r="R65" s="22"/>
      <c r="S65" s="22"/>
      <c r="T65" s="22"/>
      <c r="U65" s="22"/>
      <c r="V65" s="22"/>
      <c r="W65" s="22"/>
      <c r="X65" s="22"/>
      <c r="Y65" s="22"/>
      <c r="AB65" s="22"/>
      <c r="AC65" s="22"/>
      <c r="AD65" s="22"/>
      <c r="AE65" s="22"/>
      <c r="AF65" s="22"/>
      <c r="AG65" s="22"/>
      <c r="AH65" s="22"/>
      <c r="AI65" s="22">
        <v>1</v>
      </c>
      <c r="AJ65" s="22"/>
      <c r="AM65" s="22"/>
      <c r="AN65" s="22"/>
      <c r="AO65" s="22"/>
      <c r="AP65" s="22"/>
      <c r="AQ65" s="22"/>
      <c r="AR65" s="22"/>
      <c r="AS65" s="22"/>
      <c r="AT65" s="22"/>
      <c r="AU65" s="22">
        <v>1</v>
      </c>
      <c r="AX65" s="22"/>
      <c r="AY65" s="22"/>
      <c r="AZ65" s="22"/>
      <c r="BA65" s="22"/>
      <c r="BB65" s="22"/>
      <c r="BC65" s="22"/>
      <c r="BD65" s="22"/>
      <c r="BE65" s="22"/>
      <c r="BF65" s="22"/>
      <c r="BI65" s="22"/>
      <c r="BJ65" s="22"/>
      <c r="BK65" s="22"/>
      <c r="BL65" s="22"/>
      <c r="BM65" s="22"/>
      <c r="BN65" s="22"/>
      <c r="BO65" s="22"/>
      <c r="BP65" s="22"/>
      <c r="BQ65" s="22">
        <v>1</v>
      </c>
      <c r="BT65" s="22"/>
      <c r="BU65" s="22"/>
      <c r="BV65" s="22"/>
      <c r="BW65" s="22"/>
      <c r="BX65" s="22"/>
      <c r="BY65" s="22"/>
      <c r="BZ65" s="22"/>
      <c r="CA65" s="22">
        <v>1</v>
      </c>
      <c r="CB65" s="22"/>
      <c r="CE65" s="22"/>
      <c r="CF65" s="22"/>
      <c r="CG65" s="22"/>
      <c r="CH65" s="22"/>
      <c r="CI65" s="22"/>
      <c r="CJ65" s="22"/>
      <c r="CK65" s="22"/>
      <c r="CL65" s="22"/>
      <c r="CM65" s="22"/>
    </row>
    <row r="66" spans="1:91" x14ac:dyDescent="0.45">
      <c r="B66" s="19"/>
      <c r="C66" s="1" t="s">
        <v>135</v>
      </c>
      <c r="E66" s="32"/>
      <c r="G66" s="32"/>
      <c r="H66" s="32"/>
      <c r="J66" s="40"/>
      <c r="K66" s="40"/>
      <c r="L66" s="32"/>
      <c r="M66" s="32"/>
      <c r="N66" s="1">
        <v>0.12</v>
      </c>
      <c r="O66" s="40"/>
      <c r="Q66" s="22"/>
      <c r="R66" s="22"/>
      <c r="S66" s="22"/>
      <c r="T66" s="22"/>
      <c r="U66" s="22"/>
      <c r="V66" s="22"/>
      <c r="W66" s="22"/>
      <c r="X66" s="22"/>
      <c r="Y66" s="22"/>
      <c r="AB66" s="22"/>
      <c r="AC66" s="22"/>
      <c r="AD66" s="22"/>
      <c r="AE66" s="22"/>
      <c r="AF66" s="22"/>
      <c r="AG66" s="22"/>
      <c r="AH66" s="22"/>
      <c r="AI66" s="22"/>
      <c r="AJ66" s="22"/>
      <c r="AM66" s="22"/>
      <c r="AN66" s="22"/>
      <c r="AO66" s="22"/>
      <c r="AP66" s="22"/>
      <c r="AQ66" s="22"/>
      <c r="AR66" s="22"/>
      <c r="AS66" s="22"/>
      <c r="AT66" s="22"/>
      <c r="AU66" s="22"/>
      <c r="AX66" s="22"/>
      <c r="AY66" s="22"/>
      <c r="AZ66" s="22"/>
      <c r="BA66" s="22"/>
      <c r="BB66" s="22"/>
      <c r="BC66" s="22"/>
      <c r="BD66" s="22"/>
      <c r="BE66" s="22"/>
      <c r="BF66" s="22"/>
      <c r="BI66" s="22"/>
      <c r="BJ66" s="22"/>
      <c r="BK66" s="22"/>
      <c r="BL66" s="22"/>
      <c r="BM66" s="22"/>
      <c r="BN66" s="22"/>
      <c r="BO66" s="22"/>
      <c r="BP66" s="22"/>
      <c r="BQ66" s="22"/>
      <c r="BT66" s="22"/>
      <c r="BU66" s="22"/>
      <c r="BV66" s="22"/>
      <c r="BW66" s="22"/>
      <c r="BX66" s="22"/>
      <c r="BY66" s="22"/>
      <c r="BZ66" s="22"/>
      <c r="CA66" s="22">
        <v>1</v>
      </c>
      <c r="CB66" s="22"/>
      <c r="CE66" s="22"/>
      <c r="CF66" s="22"/>
      <c r="CG66" s="22"/>
      <c r="CH66" s="22"/>
      <c r="CI66" s="22"/>
      <c r="CJ66" s="22"/>
      <c r="CK66" s="22"/>
      <c r="CL66" s="22"/>
      <c r="CM66" s="22"/>
    </row>
    <row r="67" spans="1:91" x14ac:dyDescent="0.45">
      <c r="B67" s="19"/>
      <c r="C67" s="1" t="s">
        <v>19</v>
      </c>
      <c r="E67" s="32"/>
      <c r="G67" s="32"/>
      <c r="H67" s="32"/>
      <c r="J67" s="40">
        <v>0.3</v>
      </c>
      <c r="K67" s="40">
        <f>J67*1.15</f>
        <v>0.34499999999999997</v>
      </c>
      <c r="L67" s="32">
        <v>0.25</v>
      </c>
      <c r="M67" s="32"/>
      <c r="N67" s="1">
        <v>0.06</v>
      </c>
      <c r="O67" s="40">
        <v>0.5</v>
      </c>
      <c r="Q67" s="22"/>
      <c r="R67" s="22"/>
      <c r="S67" s="22"/>
      <c r="T67" s="22"/>
      <c r="U67" s="22"/>
      <c r="V67" s="22"/>
      <c r="W67" s="22"/>
      <c r="X67" s="22"/>
      <c r="Y67" s="22"/>
      <c r="AB67" s="22"/>
      <c r="AC67" s="22"/>
      <c r="AD67" s="22">
        <v>1</v>
      </c>
      <c r="AE67" s="22"/>
      <c r="AF67" s="22">
        <v>1</v>
      </c>
      <c r="AG67" s="22">
        <v>1</v>
      </c>
      <c r="AH67" s="22"/>
      <c r="AI67" s="22">
        <v>1</v>
      </c>
      <c r="AJ67" s="22"/>
      <c r="AM67" s="22"/>
      <c r="AN67" s="22"/>
      <c r="AO67" s="22"/>
      <c r="AP67" s="22"/>
      <c r="AQ67" s="22"/>
      <c r="AR67" s="22"/>
      <c r="AS67" s="22"/>
      <c r="AT67" s="22"/>
      <c r="AU67" s="22"/>
      <c r="AX67" s="22"/>
      <c r="AY67" s="22"/>
      <c r="AZ67" s="22"/>
      <c r="BA67" s="22"/>
      <c r="BB67" s="22"/>
      <c r="BC67" s="22"/>
      <c r="BD67" s="22"/>
      <c r="BE67" s="22"/>
      <c r="BF67" s="22"/>
      <c r="BI67" s="22"/>
      <c r="BJ67" s="22"/>
      <c r="BK67" s="22"/>
      <c r="BL67" s="22"/>
      <c r="BM67" s="22"/>
      <c r="BN67" s="22"/>
      <c r="BO67" s="22"/>
      <c r="BP67" s="22"/>
      <c r="BQ67" s="22">
        <v>1</v>
      </c>
      <c r="BT67" s="22"/>
      <c r="BU67" s="22"/>
      <c r="BV67" s="22"/>
      <c r="BW67" s="22"/>
      <c r="BX67" s="22">
        <v>1</v>
      </c>
      <c r="BY67" s="22">
        <v>1</v>
      </c>
      <c r="BZ67" s="22"/>
      <c r="CA67" s="22">
        <v>1</v>
      </c>
      <c r="CB67" s="22"/>
      <c r="CE67" s="22"/>
      <c r="CF67" s="22"/>
      <c r="CG67" s="22"/>
      <c r="CH67" s="22"/>
      <c r="CI67" s="22"/>
      <c r="CJ67" s="22"/>
      <c r="CK67" s="22">
        <v>1</v>
      </c>
      <c r="CL67" s="22"/>
      <c r="CM67" s="22"/>
    </row>
    <row r="68" spans="1:91" x14ac:dyDescent="0.45">
      <c r="B68" s="12"/>
      <c r="C68" s="29" t="s">
        <v>15</v>
      </c>
      <c r="D68" s="12"/>
      <c r="E68" s="33">
        <v>0.5</v>
      </c>
      <c r="F68" s="12">
        <v>0.5</v>
      </c>
      <c r="G68" s="33">
        <v>0.06</v>
      </c>
      <c r="H68" s="33">
        <v>0.06</v>
      </c>
      <c r="I68" s="12">
        <v>0.06</v>
      </c>
      <c r="J68" s="33">
        <v>0.06</v>
      </c>
      <c r="K68" s="33">
        <v>0.06</v>
      </c>
      <c r="L68" s="33">
        <v>0.06</v>
      </c>
      <c r="M68" s="33">
        <v>0.06</v>
      </c>
      <c r="N68" s="33">
        <v>0.06</v>
      </c>
      <c r="O68" s="29">
        <v>0.06</v>
      </c>
      <c r="Q68" s="24"/>
      <c r="R68" s="24"/>
      <c r="S68" s="24"/>
      <c r="T68" s="24"/>
      <c r="U68" s="24"/>
      <c r="V68" s="24"/>
      <c r="W68" s="24"/>
      <c r="X68" s="24"/>
      <c r="Y68" s="24"/>
      <c r="AB68" s="24"/>
      <c r="AC68" s="24"/>
      <c r="AD68" s="24"/>
      <c r="AE68" s="24"/>
      <c r="AF68" s="24"/>
      <c r="AG68" s="24"/>
      <c r="AH68" s="24"/>
      <c r="AI68" s="24"/>
      <c r="AJ68" s="24"/>
      <c r="AM68" s="24"/>
      <c r="AN68" s="24"/>
      <c r="AO68" s="24"/>
      <c r="AP68" s="24"/>
      <c r="AQ68" s="24"/>
      <c r="AR68" s="24"/>
      <c r="AS68" s="24"/>
      <c r="AT68" s="24"/>
      <c r="AU68" s="24"/>
      <c r="AX68" s="24"/>
      <c r="AY68" s="24"/>
      <c r="AZ68" s="24"/>
      <c r="BA68" s="24"/>
      <c r="BB68" s="24"/>
      <c r="BC68" s="24"/>
      <c r="BD68" s="24"/>
      <c r="BE68" s="24"/>
      <c r="BF68" s="24"/>
      <c r="BI68" s="24"/>
      <c r="BJ68" s="24"/>
      <c r="BK68" s="24"/>
      <c r="BL68" s="24"/>
      <c r="BM68" s="24"/>
      <c r="BN68" s="24"/>
      <c r="BO68" s="24"/>
      <c r="BP68" s="24"/>
      <c r="BQ68" s="24"/>
      <c r="BT68" s="24"/>
      <c r="BU68" s="24"/>
      <c r="BV68" s="24"/>
      <c r="BW68" s="24"/>
      <c r="BX68" s="24"/>
      <c r="BY68" s="24"/>
      <c r="BZ68" s="24"/>
      <c r="CA68" s="24"/>
      <c r="CB68" s="24"/>
      <c r="CE68" s="24"/>
      <c r="CF68" s="24"/>
      <c r="CG68" s="24"/>
      <c r="CH68" s="24"/>
      <c r="CI68" s="24"/>
      <c r="CJ68" s="24"/>
      <c r="CK68" s="24"/>
      <c r="CL68" s="24"/>
      <c r="CM68" s="24"/>
    </row>
    <row r="69" spans="1:91" x14ac:dyDescent="0.45">
      <c r="B69" s="25" t="s">
        <v>114</v>
      </c>
      <c r="C69" s="11" t="s">
        <v>2</v>
      </c>
      <c r="D69" s="11"/>
      <c r="E69" s="35"/>
      <c r="F69" s="18"/>
      <c r="G69" s="35"/>
      <c r="H69" s="35"/>
      <c r="I69" s="18"/>
      <c r="J69" s="42"/>
      <c r="K69" s="42"/>
      <c r="L69" s="35"/>
      <c r="M69" s="35"/>
      <c r="N69" s="18"/>
      <c r="O69" s="39">
        <v>1</v>
      </c>
      <c r="P69" s="11"/>
      <c r="Q69" s="23"/>
      <c r="R69" s="23"/>
      <c r="S69" s="23"/>
      <c r="T69" s="23"/>
      <c r="U69" s="23"/>
      <c r="V69" s="23"/>
      <c r="W69" s="23"/>
      <c r="X69" s="23"/>
      <c r="Y69" s="23"/>
      <c r="Z69" s="11"/>
      <c r="AA69" s="11"/>
      <c r="AB69" s="23"/>
      <c r="AC69" s="23"/>
      <c r="AD69" s="23"/>
      <c r="AE69" s="23"/>
      <c r="AF69" s="23"/>
      <c r="AG69" s="23"/>
      <c r="AH69" s="23"/>
      <c r="AI69" s="23"/>
      <c r="AJ69" s="23"/>
      <c r="AM69" s="23"/>
      <c r="AN69" s="23"/>
      <c r="AO69" s="23"/>
      <c r="AP69" s="23"/>
      <c r="AQ69" s="23"/>
      <c r="AR69" s="23"/>
      <c r="AS69" s="23"/>
      <c r="AT69" s="23"/>
      <c r="AU69" s="23">
        <v>1</v>
      </c>
      <c r="AX69" s="23"/>
      <c r="AY69" s="23"/>
      <c r="AZ69" s="23"/>
      <c r="BA69" s="23"/>
      <c r="BB69" s="23"/>
      <c r="BC69" s="23"/>
      <c r="BD69" s="23"/>
      <c r="BE69" s="23"/>
      <c r="BF69" s="23">
        <v>1</v>
      </c>
      <c r="BI69" s="23"/>
      <c r="BJ69" s="23"/>
      <c r="BK69" s="23"/>
      <c r="BL69" s="23"/>
      <c r="BM69" s="23"/>
      <c r="BN69" s="23"/>
      <c r="BO69" s="23"/>
      <c r="BP69" s="23"/>
      <c r="BQ69" s="23">
        <v>1</v>
      </c>
      <c r="BT69" s="23"/>
      <c r="BU69" s="23"/>
      <c r="BV69" s="23"/>
      <c r="BW69" s="23"/>
      <c r="BX69" s="23"/>
      <c r="BY69" s="23"/>
      <c r="BZ69" s="23"/>
      <c r="CA69" s="23"/>
      <c r="CB69" s="23"/>
      <c r="CE69" s="23"/>
      <c r="CF69" s="23"/>
      <c r="CG69" s="23"/>
      <c r="CH69" s="23"/>
      <c r="CI69" s="23"/>
      <c r="CJ69" s="23"/>
      <c r="CK69" s="23"/>
      <c r="CL69" s="23"/>
      <c r="CM69" s="23"/>
    </row>
    <row r="70" spans="1:91" x14ac:dyDescent="0.45">
      <c r="B70" s="19"/>
      <c r="C70" s="1" t="s">
        <v>115</v>
      </c>
      <c r="E70" s="36"/>
      <c r="F70" s="16"/>
      <c r="G70" s="36"/>
      <c r="H70" s="36"/>
      <c r="I70" s="16"/>
      <c r="J70" s="43"/>
      <c r="K70" s="43"/>
      <c r="L70" s="36"/>
      <c r="M70" s="36"/>
      <c r="N70" s="16"/>
      <c r="O70" s="40">
        <v>1</v>
      </c>
      <c r="Q70" s="22"/>
      <c r="R70" s="22"/>
      <c r="S70" s="22"/>
      <c r="T70" s="22"/>
      <c r="U70" s="22"/>
      <c r="V70" s="22"/>
      <c r="W70" s="22"/>
      <c r="X70" s="22"/>
      <c r="Y70" s="22"/>
      <c r="AB70" s="22"/>
      <c r="AC70" s="22"/>
      <c r="AD70" s="22"/>
      <c r="AE70" s="22"/>
      <c r="AF70" s="22"/>
      <c r="AG70" s="22"/>
      <c r="AH70" s="22"/>
      <c r="AI70" s="22"/>
      <c r="AJ70" s="22"/>
      <c r="AM70" s="22"/>
      <c r="AN70" s="22"/>
      <c r="AO70" s="22"/>
      <c r="AP70" s="22"/>
      <c r="AQ70" s="22"/>
      <c r="AR70" s="22"/>
      <c r="AS70" s="22"/>
      <c r="AT70" s="22"/>
      <c r="AU70" s="22"/>
      <c r="AX70" s="22"/>
      <c r="AY70" s="22"/>
      <c r="AZ70" s="22"/>
      <c r="BA70" s="22"/>
      <c r="BB70" s="22"/>
      <c r="BC70" s="22"/>
      <c r="BD70" s="22"/>
      <c r="BE70" s="22"/>
      <c r="BF70" s="22">
        <v>1</v>
      </c>
      <c r="BI70" s="22"/>
      <c r="BJ70" s="22"/>
      <c r="BK70" s="22"/>
      <c r="BL70" s="22"/>
      <c r="BM70" s="22"/>
      <c r="BN70" s="22"/>
      <c r="BO70" s="22"/>
      <c r="BP70" s="22"/>
      <c r="BQ70" s="22">
        <v>1</v>
      </c>
      <c r="BT70" s="22"/>
      <c r="BU70" s="22"/>
      <c r="BV70" s="22"/>
      <c r="BW70" s="22"/>
      <c r="BX70" s="22"/>
      <c r="BY70" s="22"/>
      <c r="BZ70" s="22"/>
      <c r="CA70" s="22"/>
      <c r="CB70" s="22"/>
      <c r="CE70" s="22"/>
      <c r="CF70" s="22"/>
      <c r="CG70" s="22"/>
      <c r="CH70" s="22"/>
      <c r="CI70" s="22"/>
      <c r="CJ70" s="22"/>
      <c r="CK70" s="22"/>
      <c r="CL70" s="22"/>
      <c r="CM70" s="22"/>
    </row>
    <row r="71" spans="1:91" x14ac:dyDescent="0.45">
      <c r="B71" s="19"/>
      <c r="C71" s="1" t="s">
        <v>116</v>
      </c>
      <c r="E71" s="36"/>
      <c r="F71" s="16"/>
      <c r="G71" s="36"/>
      <c r="H71" s="36"/>
      <c r="I71" s="16"/>
      <c r="J71" s="43"/>
      <c r="K71" s="43"/>
      <c r="L71" s="36"/>
      <c r="M71" s="36"/>
      <c r="N71" s="16"/>
      <c r="O71" s="40">
        <v>1</v>
      </c>
      <c r="Q71" s="22"/>
      <c r="R71" s="22"/>
      <c r="S71" s="22"/>
      <c r="T71" s="22"/>
      <c r="U71" s="22"/>
      <c r="V71" s="22"/>
      <c r="W71" s="22"/>
      <c r="X71" s="22"/>
      <c r="Y71" s="22"/>
      <c r="AB71" s="22"/>
      <c r="AC71" s="22"/>
      <c r="AD71" s="22"/>
      <c r="AE71" s="22"/>
      <c r="AF71" s="22"/>
      <c r="AG71" s="22"/>
      <c r="AH71" s="22"/>
      <c r="AI71" s="22"/>
      <c r="AJ71" s="22"/>
      <c r="AM71" s="22"/>
      <c r="AN71" s="22"/>
      <c r="AO71" s="22"/>
      <c r="AP71" s="22"/>
      <c r="AQ71" s="22"/>
      <c r="AR71" s="22"/>
      <c r="AS71" s="22"/>
      <c r="AT71" s="22"/>
      <c r="AU71" s="22">
        <v>1</v>
      </c>
      <c r="AX71" s="22"/>
      <c r="AY71" s="22"/>
      <c r="AZ71" s="22"/>
      <c r="BA71" s="22"/>
      <c r="BB71" s="22"/>
      <c r="BC71" s="22"/>
      <c r="BD71" s="22"/>
      <c r="BE71" s="22"/>
      <c r="BF71" s="22">
        <v>1</v>
      </c>
      <c r="BI71" s="22"/>
      <c r="BJ71" s="22"/>
      <c r="BK71" s="22"/>
      <c r="BL71" s="22"/>
      <c r="BM71" s="22"/>
      <c r="BN71" s="22"/>
      <c r="BO71" s="22"/>
      <c r="BP71" s="22"/>
      <c r="BQ71" s="22">
        <v>1</v>
      </c>
      <c r="BT71" s="22"/>
      <c r="BU71" s="22"/>
      <c r="BV71" s="22"/>
      <c r="BW71" s="22"/>
      <c r="BX71" s="22"/>
      <c r="BY71" s="22"/>
      <c r="BZ71" s="22"/>
      <c r="CA71" s="22"/>
      <c r="CB71" s="22"/>
      <c r="CE71" s="22"/>
      <c r="CF71" s="22"/>
      <c r="CG71" s="22"/>
      <c r="CH71" s="22"/>
      <c r="CI71" s="22"/>
      <c r="CJ71" s="22"/>
      <c r="CK71" s="22"/>
      <c r="CL71" s="22"/>
      <c r="CM71" s="22"/>
    </row>
    <row r="72" spans="1:91" x14ac:dyDescent="0.45">
      <c r="B72" s="19"/>
      <c r="C72" s="1" t="s">
        <v>117</v>
      </c>
      <c r="E72" s="36"/>
      <c r="F72" s="16"/>
      <c r="G72" s="36"/>
      <c r="H72" s="36"/>
      <c r="I72" s="16"/>
      <c r="J72" s="43"/>
      <c r="K72" s="43"/>
      <c r="L72" s="36"/>
      <c r="M72" s="36"/>
      <c r="N72" s="16"/>
      <c r="O72" s="40">
        <v>0.5</v>
      </c>
      <c r="Q72" s="22"/>
      <c r="R72" s="22"/>
      <c r="S72" s="22"/>
      <c r="T72" s="22"/>
      <c r="U72" s="22"/>
      <c r="V72" s="22"/>
      <c r="W72" s="22"/>
      <c r="X72" s="22"/>
      <c r="Y72" s="22"/>
      <c r="AB72" s="22"/>
      <c r="AC72" s="22"/>
      <c r="AD72" s="22"/>
      <c r="AE72" s="22"/>
      <c r="AF72" s="22"/>
      <c r="AG72" s="22"/>
      <c r="AH72" s="22"/>
      <c r="AI72" s="22"/>
      <c r="AJ72" s="22"/>
      <c r="AM72" s="22"/>
      <c r="AN72" s="22"/>
      <c r="AO72" s="22"/>
      <c r="AP72" s="22"/>
      <c r="AQ72" s="22"/>
      <c r="AR72" s="22"/>
      <c r="AS72" s="22"/>
      <c r="AT72" s="22"/>
      <c r="AU72" s="22">
        <v>1</v>
      </c>
      <c r="AX72" s="22"/>
      <c r="AY72" s="22"/>
      <c r="AZ72" s="22"/>
      <c r="BA72" s="22"/>
      <c r="BB72" s="22"/>
      <c r="BC72" s="22"/>
      <c r="BD72" s="22"/>
      <c r="BE72" s="22"/>
      <c r="BF72" s="22"/>
      <c r="BI72" s="22"/>
      <c r="BJ72" s="22"/>
      <c r="BK72" s="22"/>
      <c r="BL72" s="22"/>
      <c r="BM72" s="22"/>
      <c r="BN72" s="22"/>
      <c r="BO72" s="22"/>
      <c r="BP72" s="22"/>
      <c r="BQ72" s="22">
        <v>1</v>
      </c>
      <c r="BT72" s="22"/>
      <c r="BU72" s="22"/>
      <c r="BV72" s="22"/>
      <c r="BW72" s="22"/>
      <c r="BX72" s="22"/>
      <c r="BY72" s="22"/>
      <c r="BZ72" s="22"/>
      <c r="CA72" s="22"/>
      <c r="CB72" s="22"/>
      <c r="CE72" s="22"/>
      <c r="CF72" s="22"/>
      <c r="CG72" s="22"/>
      <c r="CH72" s="22"/>
      <c r="CI72" s="22"/>
      <c r="CJ72" s="22"/>
      <c r="CK72" s="22"/>
      <c r="CL72" s="22"/>
      <c r="CM72" s="22"/>
    </row>
    <row r="73" spans="1:91" x14ac:dyDescent="0.45">
      <c r="B73" s="19"/>
      <c r="C73" s="1" t="s">
        <v>118</v>
      </c>
      <c r="E73" s="36"/>
      <c r="F73" s="16"/>
      <c r="G73" s="36"/>
      <c r="H73" s="36"/>
      <c r="I73" s="16"/>
      <c r="J73" s="43"/>
      <c r="K73" s="43"/>
      <c r="L73" s="36"/>
      <c r="M73" s="36"/>
      <c r="N73" s="16"/>
      <c r="O73" s="40">
        <v>1</v>
      </c>
      <c r="Q73" s="22"/>
      <c r="R73" s="22"/>
      <c r="S73" s="22"/>
      <c r="T73" s="22"/>
      <c r="U73" s="22"/>
      <c r="V73" s="22"/>
      <c r="W73" s="22"/>
      <c r="X73" s="22"/>
      <c r="Y73" s="22"/>
      <c r="AB73" s="22"/>
      <c r="AC73" s="22"/>
      <c r="AD73" s="22"/>
      <c r="AE73" s="22"/>
      <c r="AF73" s="22"/>
      <c r="AG73" s="22"/>
      <c r="AH73" s="22"/>
      <c r="AI73" s="22"/>
      <c r="AJ73" s="22"/>
      <c r="AM73" s="22"/>
      <c r="AN73" s="22"/>
      <c r="AO73" s="22"/>
      <c r="AP73" s="22"/>
      <c r="AQ73" s="22"/>
      <c r="AR73" s="22"/>
      <c r="AS73" s="22"/>
      <c r="AT73" s="22"/>
      <c r="AU73" s="22">
        <v>1</v>
      </c>
      <c r="AX73" s="22"/>
      <c r="AY73" s="22"/>
      <c r="AZ73" s="22"/>
      <c r="BA73" s="22"/>
      <c r="BB73" s="22"/>
      <c r="BC73" s="22"/>
      <c r="BD73" s="22"/>
      <c r="BE73" s="22"/>
      <c r="BF73" s="22"/>
      <c r="BI73" s="22"/>
      <c r="BJ73" s="22"/>
      <c r="BK73" s="22"/>
      <c r="BL73" s="22"/>
      <c r="BM73" s="22"/>
      <c r="BN73" s="22"/>
      <c r="BO73" s="22"/>
      <c r="BP73" s="22"/>
      <c r="BQ73" s="22">
        <v>1</v>
      </c>
      <c r="BT73" s="22"/>
      <c r="BU73" s="22"/>
      <c r="BV73" s="22"/>
      <c r="BW73" s="22"/>
      <c r="BX73" s="22"/>
      <c r="BY73" s="22"/>
      <c r="BZ73" s="22"/>
      <c r="CA73" s="22"/>
      <c r="CB73" s="22"/>
      <c r="CE73" s="22"/>
      <c r="CF73" s="22"/>
      <c r="CG73" s="22"/>
      <c r="CH73" s="22"/>
      <c r="CI73" s="22"/>
      <c r="CJ73" s="22"/>
      <c r="CK73" s="22"/>
      <c r="CL73" s="22"/>
      <c r="CM73" s="22"/>
    </row>
    <row r="74" spans="1:91" x14ac:dyDescent="0.45">
      <c r="B74" s="19"/>
      <c r="C74" s="1" t="s">
        <v>119</v>
      </c>
      <c r="E74" s="36"/>
      <c r="F74" s="16"/>
      <c r="G74" s="36"/>
      <c r="H74" s="36"/>
      <c r="I74" s="16"/>
      <c r="J74" s="43"/>
      <c r="K74" s="43"/>
      <c r="L74" s="36"/>
      <c r="M74" s="36"/>
      <c r="N74" s="16"/>
      <c r="O74" s="40">
        <v>0.9</v>
      </c>
      <c r="Q74" s="22"/>
      <c r="R74" s="22"/>
      <c r="S74" s="22"/>
      <c r="T74" s="22"/>
      <c r="U74" s="22"/>
      <c r="V74" s="22"/>
      <c r="W74" s="22"/>
      <c r="X74" s="22"/>
      <c r="Y74" s="22"/>
      <c r="AB74" s="22"/>
      <c r="AC74" s="22"/>
      <c r="AD74" s="22"/>
      <c r="AE74" s="22"/>
      <c r="AF74" s="22"/>
      <c r="AG74" s="22"/>
      <c r="AH74" s="22"/>
      <c r="AI74" s="22"/>
      <c r="AJ74" s="22"/>
      <c r="AM74" s="22"/>
      <c r="AN74" s="22"/>
      <c r="AO74" s="22"/>
      <c r="AP74" s="22"/>
      <c r="AQ74" s="22"/>
      <c r="AR74" s="22"/>
      <c r="AS74" s="22"/>
      <c r="AT74" s="22"/>
      <c r="AU74" s="22"/>
      <c r="AX74" s="22"/>
      <c r="AY74" s="22"/>
      <c r="AZ74" s="22"/>
      <c r="BA74" s="22"/>
      <c r="BB74" s="22"/>
      <c r="BC74" s="22"/>
      <c r="BD74" s="22"/>
      <c r="BE74" s="22"/>
      <c r="BF74" s="22">
        <v>1</v>
      </c>
      <c r="BI74" s="22"/>
      <c r="BJ74" s="22"/>
      <c r="BK74" s="22"/>
      <c r="BL74" s="22"/>
      <c r="BM74" s="22"/>
      <c r="BN74" s="22"/>
      <c r="BO74" s="22"/>
      <c r="BP74" s="22"/>
      <c r="BQ74" s="22">
        <v>1</v>
      </c>
      <c r="BT74" s="22"/>
      <c r="BU74" s="22"/>
      <c r="BV74" s="22"/>
      <c r="BW74" s="22"/>
      <c r="BX74" s="22"/>
      <c r="BY74" s="22"/>
      <c r="BZ74" s="22"/>
      <c r="CA74" s="22"/>
      <c r="CB74" s="22"/>
      <c r="CE74" s="22"/>
      <c r="CF74" s="22"/>
      <c r="CG74" s="22"/>
      <c r="CH74" s="22"/>
      <c r="CI74" s="22"/>
      <c r="CJ74" s="22"/>
      <c r="CK74" s="22"/>
      <c r="CL74" s="22"/>
      <c r="CM74" s="22"/>
    </row>
    <row r="75" spans="1:91" x14ac:dyDescent="0.45">
      <c r="B75" s="19"/>
      <c r="C75" s="1" t="s">
        <v>120</v>
      </c>
      <c r="E75" s="36"/>
      <c r="F75" s="16"/>
      <c r="G75" s="36"/>
      <c r="H75" s="36"/>
      <c r="I75" s="16"/>
      <c r="J75" s="43"/>
      <c r="K75" s="43"/>
      <c r="L75" s="36"/>
      <c r="M75" s="36"/>
      <c r="N75" s="16"/>
      <c r="O75" s="40">
        <v>0.5</v>
      </c>
      <c r="Q75" s="22"/>
      <c r="R75" s="22"/>
      <c r="S75" s="22"/>
      <c r="T75" s="22"/>
      <c r="U75" s="22"/>
      <c r="V75" s="22"/>
      <c r="W75" s="22"/>
      <c r="X75" s="22"/>
      <c r="Y75" s="22"/>
      <c r="AB75" s="22"/>
      <c r="AC75" s="22"/>
      <c r="AD75" s="22"/>
      <c r="AE75" s="22"/>
      <c r="AF75" s="22"/>
      <c r="AG75" s="22"/>
      <c r="AH75" s="22"/>
      <c r="AI75" s="22"/>
      <c r="AJ75" s="22"/>
      <c r="AM75" s="22"/>
      <c r="AN75" s="22"/>
      <c r="AO75" s="22"/>
      <c r="AP75" s="22"/>
      <c r="AQ75" s="22"/>
      <c r="AR75" s="22"/>
      <c r="AS75" s="22"/>
      <c r="AT75" s="22"/>
      <c r="AU75" s="22">
        <v>1</v>
      </c>
      <c r="AX75" s="22"/>
      <c r="AY75" s="22"/>
      <c r="AZ75" s="22"/>
      <c r="BA75" s="22"/>
      <c r="BB75" s="22"/>
      <c r="BC75" s="22"/>
      <c r="BD75" s="22"/>
      <c r="BE75" s="22"/>
      <c r="BF75" s="22"/>
      <c r="BI75" s="22"/>
      <c r="BJ75" s="22"/>
      <c r="BK75" s="22"/>
      <c r="BL75" s="22"/>
      <c r="BM75" s="22"/>
      <c r="BN75" s="22"/>
      <c r="BO75" s="22"/>
      <c r="BP75" s="22"/>
      <c r="BQ75" s="22">
        <v>1</v>
      </c>
      <c r="BT75" s="22"/>
      <c r="BU75" s="22"/>
      <c r="BV75" s="22"/>
      <c r="BW75" s="22"/>
      <c r="BX75" s="22"/>
      <c r="BY75" s="22"/>
      <c r="BZ75" s="22"/>
      <c r="CA75" s="22"/>
      <c r="CB75" s="22"/>
      <c r="CE75" s="22"/>
      <c r="CF75" s="22"/>
      <c r="CG75" s="22"/>
      <c r="CH75" s="22"/>
      <c r="CI75" s="22"/>
      <c r="CJ75" s="22"/>
      <c r="CK75" s="22"/>
      <c r="CL75" s="22"/>
      <c r="CM75" s="22"/>
    </row>
    <row r="76" spans="1:91" x14ac:dyDescent="0.45">
      <c r="B76" s="19"/>
      <c r="C76" s="1" t="s">
        <v>131</v>
      </c>
      <c r="D76" s="1" t="s">
        <v>149</v>
      </c>
      <c r="E76" s="36"/>
      <c r="F76" s="16"/>
      <c r="G76" s="36"/>
      <c r="H76" s="36"/>
      <c r="I76" s="16"/>
      <c r="J76" s="43"/>
      <c r="K76" s="43"/>
      <c r="L76" s="36"/>
      <c r="M76" s="36"/>
      <c r="N76" s="16"/>
      <c r="O76" s="40">
        <v>1</v>
      </c>
      <c r="Q76" s="22"/>
      <c r="R76" s="22"/>
      <c r="S76" s="22"/>
      <c r="T76" s="22"/>
      <c r="U76" s="22"/>
      <c r="V76" s="22"/>
      <c r="W76" s="22"/>
      <c r="X76" s="22"/>
      <c r="Y76" s="22"/>
      <c r="AB76" s="22"/>
      <c r="AC76" s="22"/>
      <c r="AD76" s="22"/>
      <c r="AE76" s="22"/>
      <c r="AF76" s="22"/>
      <c r="AG76" s="22"/>
      <c r="AH76" s="22"/>
      <c r="AI76" s="22"/>
      <c r="AJ76" s="22"/>
      <c r="AM76" s="22"/>
      <c r="AN76" s="22"/>
      <c r="AO76" s="22"/>
      <c r="AP76" s="22"/>
      <c r="AQ76" s="22"/>
      <c r="AR76" s="22"/>
      <c r="AS76" s="22"/>
      <c r="AT76" s="22"/>
      <c r="AU76" s="22"/>
      <c r="AX76" s="22"/>
      <c r="AY76" s="22"/>
      <c r="AZ76" s="22"/>
      <c r="BA76" s="22"/>
      <c r="BB76" s="22"/>
      <c r="BC76" s="22"/>
      <c r="BD76" s="22"/>
      <c r="BE76" s="22"/>
      <c r="BF76" s="22">
        <v>1</v>
      </c>
      <c r="BI76" s="22"/>
      <c r="BJ76" s="22"/>
      <c r="BK76" s="22"/>
      <c r="BL76" s="22"/>
      <c r="BM76" s="22"/>
      <c r="BN76" s="22"/>
      <c r="BO76" s="22"/>
      <c r="BP76" s="22"/>
      <c r="BQ76" s="22"/>
      <c r="BT76" s="22"/>
      <c r="BU76" s="22"/>
      <c r="BV76" s="22"/>
      <c r="BW76" s="22"/>
      <c r="BX76" s="22"/>
      <c r="BY76" s="22"/>
      <c r="BZ76" s="22"/>
      <c r="CA76" s="22"/>
      <c r="CB76" s="22"/>
      <c r="CE76" s="22"/>
      <c r="CF76" s="22"/>
      <c r="CG76" s="22"/>
      <c r="CH76" s="22"/>
      <c r="CI76" s="22"/>
      <c r="CJ76" s="22"/>
      <c r="CK76" s="22"/>
      <c r="CL76" s="22"/>
      <c r="CM76" s="22"/>
    </row>
    <row r="77" spans="1:91" x14ac:dyDescent="0.45">
      <c r="B77" s="19"/>
      <c r="D77" s="1" t="s">
        <v>150</v>
      </c>
      <c r="E77" s="36"/>
      <c r="F77" s="16"/>
      <c r="G77" s="36"/>
      <c r="H77" s="36"/>
      <c r="I77" s="16"/>
      <c r="J77" s="43"/>
      <c r="K77" s="43"/>
      <c r="L77" s="36"/>
      <c r="M77" s="36"/>
      <c r="N77" s="16"/>
      <c r="O77" s="45">
        <v>1.9</v>
      </c>
      <c r="Q77" s="22"/>
      <c r="R77" s="22"/>
      <c r="S77" s="22"/>
      <c r="T77" s="22"/>
      <c r="U77" s="22"/>
      <c r="V77" s="22"/>
      <c r="W77" s="22"/>
      <c r="X77" s="22"/>
      <c r="Y77" s="22"/>
      <c r="AB77" s="22"/>
      <c r="AC77" s="22"/>
      <c r="AD77" s="22"/>
      <c r="AE77" s="22"/>
      <c r="AF77" s="22"/>
      <c r="AG77" s="22"/>
      <c r="AH77" s="22"/>
      <c r="AI77" s="22"/>
      <c r="AJ77" s="22"/>
      <c r="AM77" s="22"/>
      <c r="AN77" s="22"/>
      <c r="AO77" s="22"/>
      <c r="AP77" s="22"/>
      <c r="AQ77" s="22"/>
      <c r="AR77" s="22"/>
      <c r="AS77" s="22"/>
      <c r="AT77" s="22"/>
      <c r="AU77" s="22"/>
      <c r="AX77" s="22"/>
      <c r="AY77" s="22"/>
      <c r="AZ77" s="22"/>
      <c r="BA77" s="22"/>
      <c r="BB77" s="22"/>
      <c r="BC77" s="22"/>
      <c r="BD77" s="22"/>
      <c r="BE77" s="22"/>
      <c r="BF77" s="22"/>
      <c r="BI77" s="22"/>
      <c r="BJ77" s="22"/>
      <c r="BK77" s="22"/>
      <c r="BL77" s="22"/>
      <c r="BM77" s="22"/>
      <c r="BN77" s="22"/>
      <c r="BO77" s="22"/>
      <c r="BP77" s="22"/>
      <c r="BQ77" s="22"/>
      <c r="BT77" s="22"/>
      <c r="BU77" s="22"/>
      <c r="BV77" s="22"/>
      <c r="BW77" s="22"/>
      <c r="BX77" s="22"/>
      <c r="BY77" s="22"/>
      <c r="BZ77" s="22"/>
      <c r="CA77" s="22"/>
      <c r="CB77" s="22"/>
      <c r="CE77" s="22"/>
      <c r="CF77" s="22"/>
      <c r="CG77" s="22"/>
      <c r="CH77" s="22"/>
      <c r="CI77" s="22"/>
      <c r="CJ77" s="22"/>
      <c r="CK77" s="22"/>
      <c r="CL77" s="22"/>
      <c r="CM77" s="22"/>
    </row>
    <row r="78" spans="1:91" x14ac:dyDescent="0.45">
      <c r="B78" s="19"/>
      <c r="D78" s="1" t="s">
        <v>151</v>
      </c>
      <c r="E78" s="36"/>
      <c r="F78" s="16"/>
      <c r="G78" s="36"/>
      <c r="H78" s="36"/>
      <c r="I78" s="16"/>
      <c r="J78" s="43"/>
      <c r="K78" s="43"/>
      <c r="L78" s="36"/>
      <c r="M78" s="36"/>
      <c r="N78" s="16"/>
      <c r="O78" s="45">
        <v>2.8</v>
      </c>
      <c r="Q78" s="22"/>
      <c r="R78" s="22"/>
      <c r="S78" s="22"/>
      <c r="T78" s="22"/>
      <c r="U78" s="22"/>
      <c r="V78" s="22"/>
      <c r="W78" s="22"/>
      <c r="X78" s="22"/>
      <c r="Y78" s="22"/>
      <c r="AB78" s="22"/>
      <c r="AC78" s="22"/>
      <c r="AD78" s="22"/>
      <c r="AE78" s="22"/>
      <c r="AF78" s="22"/>
      <c r="AG78" s="22"/>
      <c r="AH78" s="22"/>
      <c r="AI78" s="22"/>
      <c r="AJ78" s="22"/>
      <c r="AM78" s="22"/>
      <c r="AN78" s="22"/>
      <c r="AO78" s="22"/>
      <c r="AP78" s="22"/>
      <c r="AQ78" s="22"/>
      <c r="AR78" s="22"/>
      <c r="AS78" s="22"/>
      <c r="AT78" s="22"/>
      <c r="AU78" s="22"/>
      <c r="AX78" s="22"/>
      <c r="AY78" s="22"/>
      <c r="AZ78" s="22"/>
      <c r="BA78" s="22"/>
      <c r="BB78" s="22"/>
      <c r="BC78" s="22"/>
      <c r="BD78" s="22"/>
      <c r="BE78" s="22"/>
      <c r="BF78" s="22"/>
      <c r="BI78" s="22"/>
      <c r="BJ78" s="22"/>
      <c r="BK78" s="22"/>
      <c r="BL78" s="22"/>
      <c r="BM78" s="22"/>
      <c r="BN78" s="22"/>
      <c r="BO78" s="22"/>
      <c r="BP78" s="22"/>
      <c r="BQ78" s="22"/>
      <c r="BT78" s="22"/>
      <c r="BU78" s="22"/>
      <c r="BV78" s="22"/>
      <c r="BW78" s="22"/>
      <c r="BX78" s="22"/>
      <c r="BY78" s="22"/>
      <c r="BZ78" s="22"/>
      <c r="CA78" s="22"/>
      <c r="CB78" s="22"/>
      <c r="CE78" s="22"/>
      <c r="CF78" s="22"/>
      <c r="CG78" s="22"/>
      <c r="CH78" s="22"/>
      <c r="CI78" s="22"/>
      <c r="CJ78" s="22"/>
      <c r="CK78" s="22"/>
      <c r="CL78" s="22"/>
      <c r="CM78" s="22"/>
    </row>
    <row r="79" spans="1:91" x14ac:dyDescent="0.45">
      <c r="A79" s="12"/>
      <c r="B79" s="20"/>
      <c r="C79" s="12"/>
      <c r="D79" s="12" t="s">
        <v>132</v>
      </c>
      <c r="E79" s="37"/>
      <c r="F79" s="17"/>
      <c r="G79" s="37"/>
      <c r="H79" s="37"/>
      <c r="I79" s="17"/>
      <c r="J79" s="44"/>
      <c r="K79" s="44"/>
      <c r="L79" s="37"/>
      <c r="M79" s="37"/>
      <c r="N79" s="17"/>
      <c r="O79" s="46">
        <v>3.7</v>
      </c>
      <c r="P79" s="12"/>
      <c r="Q79" s="24"/>
      <c r="R79" s="24"/>
      <c r="S79" s="24"/>
      <c r="T79" s="24"/>
      <c r="U79" s="24"/>
      <c r="V79" s="24"/>
      <c r="W79" s="24"/>
      <c r="X79" s="24"/>
      <c r="Y79" s="24"/>
      <c r="Z79" s="12"/>
      <c r="AA79" s="12"/>
      <c r="AB79" s="24"/>
      <c r="AC79" s="24"/>
      <c r="AD79" s="24"/>
      <c r="AE79" s="24"/>
      <c r="AF79" s="24"/>
      <c r="AG79" s="24"/>
      <c r="AH79" s="24"/>
      <c r="AI79" s="24"/>
      <c r="AJ79" s="24"/>
      <c r="AK79" s="12"/>
      <c r="AL79" s="12"/>
      <c r="AM79" s="24"/>
      <c r="AN79" s="24"/>
      <c r="AO79" s="24"/>
      <c r="AP79" s="24"/>
      <c r="AQ79" s="24"/>
      <c r="AR79" s="24"/>
      <c r="AS79" s="24"/>
      <c r="AT79" s="24"/>
      <c r="AU79" s="24">
        <v>1</v>
      </c>
      <c r="AV79" s="12"/>
      <c r="AW79" s="12"/>
      <c r="AX79" s="24"/>
      <c r="AY79" s="24"/>
      <c r="AZ79" s="24"/>
      <c r="BA79" s="24"/>
      <c r="BB79" s="24"/>
      <c r="BC79" s="24"/>
      <c r="BD79" s="24"/>
      <c r="BE79" s="24"/>
      <c r="BF79" s="24"/>
      <c r="BG79" s="12"/>
      <c r="BH79" s="12"/>
      <c r="BI79" s="24"/>
      <c r="BJ79" s="24"/>
      <c r="BK79" s="24"/>
      <c r="BL79" s="24"/>
      <c r="BM79" s="24"/>
      <c r="BN79" s="24"/>
      <c r="BO79" s="24"/>
      <c r="BP79" s="24"/>
      <c r="BQ79" s="24">
        <v>1</v>
      </c>
      <c r="BR79" s="12"/>
      <c r="BS79" s="12"/>
      <c r="BT79" s="24"/>
      <c r="BU79" s="24"/>
      <c r="BV79" s="24"/>
      <c r="BW79" s="24"/>
      <c r="BX79" s="24"/>
      <c r="BY79" s="24"/>
      <c r="BZ79" s="24"/>
      <c r="CA79" s="24"/>
      <c r="CB79" s="24"/>
      <c r="CC79" s="12"/>
      <c r="CD79" s="12"/>
      <c r="CE79" s="24"/>
      <c r="CF79" s="24"/>
      <c r="CG79" s="24"/>
      <c r="CH79" s="24"/>
      <c r="CI79" s="24"/>
      <c r="CJ79" s="24"/>
      <c r="CK79" s="24"/>
      <c r="CL79" s="24"/>
      <c r="CM79" s="24"/>
    </row>
  </sheetData>
  <phoneticPr fontId="1" type="noConversion"/>
  <pageMargins left="0.7" right="0.7" top="0.75" bottom="0.75" header="0.3" footer="0.3"/>
  <pageSetup paperSize="9" orientation="portrait" r:id="rId1"/>
  <ignoredErrors>
    <ignoredError sqref="G10:H10 J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개요</vt:lpstr>
      <vt:lpstr>표준공수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Hansol</dc:creator>
  <cp:lastModifiedBy>이우주</cp:lastModifiedBy>
  <dcterms:created xsi:type="dcterms:W3CDTF">2026-04-16T10:55:16Z</dcterms:created>
  <dcterms:modified xsi:type="dcterms:W3CDTF">2026-05-22T08:56:06Z</dcterms:modified>
</cp:coreProperties>
</file>